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zequic\Downloads\Bootcamp Excel\final\"/>
    </mc:Choice>
  </mc:AlternateContent>
  <bookViews>
    <workbookView xWindow="0" yWindow="0" windowWidth="19200" windowHeight="8980" tabRatio="0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52511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3" l="1"/>
  <c r="D18" i="3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<sst xmlns="http://schemas.openxmlformats.org/spreadsheetml/2006/main" count="2021" uniqueCount="323">
  <si>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</si>
  <si>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</si>
  <si>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</si>
  <si>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</si>
  <si>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</si>
  <si>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</si>
  <si>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</si>
  <si>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</si>
  <si>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</si>
  <si>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</si>
  <si>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</si>
  <si>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</si>
  <si>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</si>
  <si>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</si>
  <si>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</si>
  <si>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</si>
  <si>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</si>
  <si>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</si>
  <si>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</si>
  <si>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</si>
  <si>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</si>
  <si>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</si>
  <si>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</si>
  <si>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</si>
  <si>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</si>
  <si>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</si>
  <si>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</si>
  <si>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</si>
  <si>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</si>
  <si>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</si>
  <si>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</si>
  <si>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</si>
  <si>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</si>
  <si>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</si>
  <si>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</si>
  <si>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</si>
  <si>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</si>
  <si>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</si>
  <si>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</si>
  <si>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</si>
  <si>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</si>
  <si>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</si>
  <si>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</si>
  <si>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</si>
  <si>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</si>
  <si>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</si>
  <si>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</si>
  <si>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</si>
  <si>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</si>
  <si>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</si>
  <si>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</si>
  <si>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</si>
  <si>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</si>
  <si>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</si>
  <si>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</si>
  <si>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</si>
  <si>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</si>
  <si>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</si>
  <si>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</si>
  <si>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</si>
  <si>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</si>
  <si>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</si>
  <si>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</si>
  <si>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</si>
  <si>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</si>
  <si>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</si>
  <si>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</si>
  <si>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</si>
  <si>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</si>
  <si>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</si>
  <si>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</si>
  <si>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</si>
  <si>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</si>
  <si>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</si>
  <si>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</si>
  <si>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</si>
  <si>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</si>
  <si>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</si>
  <si>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</si>
  <si>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</si>
  <si>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</si>
  <si>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</si>
  <si>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</si>
  <si>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</si>
  <si>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</si>
  <si>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</si>
  <si>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</si>
  <si>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</si>
  <si>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</si>
  <si>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</si>
  <si>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</si>
  <si>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</si>
  <si>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</si>
  <si>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</si>
  <si>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</si>
  <si>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</si>
  <si>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</si>
  <si>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</si>
  <si>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</si>
  <si>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</si>
  <si>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</si>
  <si>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</si>
  <si>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</si>
  <si>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</si>
  <si>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</si>
  <si>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</si>
  <si>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</si>
  <si>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</si>
  <si>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</si>
  <si>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</si>
  <si>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</si>
  <si>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</si>
  <si>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</si>
  <si>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</si>
  <si>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</si>
  <si>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</si>
  <si>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</si>
  <si>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</si>
  <si>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</si>
  <si>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</si>
  <si>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</si>
  <si>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</si>
  <si>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</si>
  <si>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</si>
  <si>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</si>
  <si>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</si>
  <si>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</si>
  <si>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</si>
  <si>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</si>
  <si>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</si>
  <si>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</si>
  <si>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</si>
  <si>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</si>
  <si>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</si>
  <si>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</si>
  <si>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</si>
  <si>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</si>
  <si>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</si>
  <si>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</si>
  <si>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</si>
  <si>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</si>
  <si>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</si>
  <si>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</si>
  <si>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</si>
  <si>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</si>
  <si>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</si>
  <si>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</si>
  <si>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</si>
  <si>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</si>
  <si>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</si>
  <si>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</si>
  <si>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</si>
  <si>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</si>
  <si>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</si>
  <si>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</si>
  <si>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</si>
  <si>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</si>
  <si>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</si>
  <si>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</si>
  <si>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</si>
  <si>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</si>
  <si>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</si>
  <si>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</si>
  <si>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</si>
  <si>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</si>
  <si>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</si>
  <si>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</si>
  <si>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</si>
  <si>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</si>
  <si>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</si>
  <si>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</si>
  <si>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</si>
  <si>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</si>
  <si>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</si>
  <si>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</si>
  <si>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</si>
  <si>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</si>
  <si>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</si>
  <si>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</si>
  <si>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</si>
  <si>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</si>
  <si>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</si>
  <si>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</si>
  <si>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</si>
  <si>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</si>
  <si>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</si>
  <si>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</si>
  <si>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</si>
  <si>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</si>
  <si>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</si>
  <si>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</si>
  <si>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</si>
  <si>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</si>
  <si>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</si>
  <si>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</si>
  <si>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</si>
  <si>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</si>
  <si>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</si>
  <si>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</si>
  <si>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</si>
  <si>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</si>
  <si>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</si>
  <si>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</si>
  <si>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</si>
  <si>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</si>
  <si>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</si>
  <si>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</si>
  <si>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</si>
  <si>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</si>
  <si>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</si>
  <si>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</si>
  <si>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</si>
  <si>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</si>
  <si>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</si>
  <si>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</si>
  <si>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</si>
  <si>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</si>
  <si>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</si>
  <si>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</si>
  <si>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</si>
  <si>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</si>
  <si>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</si>
  <si>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</si>
  <si>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</si>
  <si>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</si>
  <si>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</si>
  <si>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</si>
  <si>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</si>
  <si>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</si>
  <si>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</si>
  <si>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</si>
  <si>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</si>
  <si>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</si>
  <si>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</si>
  <si>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</si>
  <si>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</si>
  <si>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</si>
  <si>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</si>
  <si>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</si>
  <si>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</si>
  <si>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</si>
  <si>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</si>
  <si>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</si>
  <si>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</si>
  <si>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</si>
  <si>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</si>
  <si>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</si>
  <si>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</si>
  <si>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</si>
  <si>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</si>
  <si>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</si>
  <si>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</si>
  <si>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</si>
  <si>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</si>
  <si>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</si>
  <si>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</si>
  <si>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</si>
  <si>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</si>
  <si>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</si>
  <si>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</si>
  <si>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</si>
  <si>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</si>
  <si>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</si>
  <si>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</si>
  <si>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</si>
  <si>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</si>
  <si>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</si>
  <si>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</si>
  <si>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</si>
  <si>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</si>
  <si>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</si>
  <si>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</si>
  <si>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</si>
  <si>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</si>
  <si>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</si>
  <si>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</si>
  <si>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</si>
  <si>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</si>
  <si>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</si>
  <si>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</si>
  <si>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</si>
  <si>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</si>
  <si>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</si>
  <si>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</si>
  <si>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</si>
  <si>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</si>
  <si>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</si>
  <si>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</si>
  <si>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</si>
  <si>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</si>
  <si>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</si>
  <si>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</si>
  <si>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</si>
  <si>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</si>
  <si>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</si>
  <si>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</si>
  <si>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</si>
  <si>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</si>
  <si>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</si>
  <si>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</si>
  <si>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</si>
  <si>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</si>
  <si>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</si>
  <si>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</si>
  <si>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</si>
  <si>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</si>
  <si>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</si>
  <si>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</si>
  <si>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</si>
  <si>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</si>
  <si>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</si>
  <si>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</si>
  <si>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</si>
  <si>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</si>
  <si>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</si>
  <si>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</si>
  <si>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2 - Qual faturamento total de vendas de planos ANUAIS, separado por auto-renovação e não aut-renovação</t>
  </si>
  <si>
    <r>
      <t xml:space="preserve">1 - Qual faturamento </t>
    </r>
    <r>
      <rPr>
        <b/>
        <sz val="11"/>
        <rFont val="Aptos Narrow"/>
        <family val="2"/>
        <scheme val="minor"/>
      </rPr>
      <t>total de Vendas</t>
    </r>
    <r>
      <rPr>
        <sz val="11"/>
        <rFont val="Aptos Narrow"/>
        <family val="2"/>
        <scheme val="minor"/>
      </rPr>
      <t xml:space="preserve"> de </t>
    </r>
    <r>
      <rPr>
        <b/>
        <sz val="11"/>
        <rFont val="Aptos Narrow"/>
        <family val="2"/>
        <scheme val="minor"/>
      </rPr>
      <t>planos ANUAIS</t>
    </r>
    <r>
      <rPr>
        <sz val="11"/>
        <rFont val="Aptos Narrow"/>
        <family val="2"/>
        <scheme val="minor"/>
      </rPr>
      <t xml:space="preserve"> - </t>
    </r>
    <r>
      <rPr>
        <u/>
        <sz val="11"/>
        <rFont val="Aptos Narrow"/>
        <family val="2"/>
        <scheme val="minor"/>
      </rPr>
      <t>contendo todas as assinaturas agregadas</t>
    </r>
  </si>
  <si>
    <t>XBOX GAME PASS SUBSCRIPTIONS SALES</t>
  </si>
  <si>
    <t>3 - Total de vendas de assinaturas do EA Play</t>
  </si>
  <si>
    <t>Soma de EA Play Season Pass</t>
  </si>
  <si>
    <t>4 - Total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</si>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</sst>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&quot;R$&quot;\ #,##0.00"/>
  </numFmts>
  <fonts count="9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name val="Aptos Narrow"/>
      <family val="2"/>
      <scheme val="minor"/>
    </font>
    <font>
      <b/>
      <sz val="16"/>
      <color rgb="FF22C55E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164" fontId="0" fillId="0" borderId="0" xfId="0" applyNumberFormat="1" applyFont="1"/>
    <xf numFmtId="0" fontId="8" fillId="0" borderId="2" xfId="1" applyFont="1" applyBorder="1" applyAlignment="1">
      <alignment horizontal="left" vertical="center" indent="5"/>
    </xf>
  </cellXfs>
  <cellStyles count="3">
    <cellStyle name="Moeda" xfId="2" builtinId="4"/>
    <cellStyle name="Normal" xfId="0" builtinId="0"/>
    <cellStyle name="Título 1" xfId="1" builtinId="16"/>
  </cellStyles>
  <dxfs count="19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z val="10"/>
        <color theme="1"/>
      </font>
      <fill>
        <patternFill>
          <bgColor rgb="FF2AE6B1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_EZEQ" pivot="0" table="0" count="10">
      <tableStyleElement type="wholeTable" dxfId="18"/>
      <tableStyleElement type="headerRow" dxfId="17"/>
    </tableStyle>
  </tableStyles>
  <colors>
    <mruColors>
      <color rgb="FF2AE6B1"/>
      <color rgb="FF22C55E"/>
      <color rgb="FF5BF6A8"/>
      <color rgb="FF2A82B1"/>
      <color rgb="FFE8E6E9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rgb="FF2AE6B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_EZEQ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[EX_FINAL_DASHBOARD_MS_XBOX.xlsx]C̳álculos!tbl_annual_total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22C55E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22C55E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C̳álculos!$B$7:$B$9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C̳álculos!$C$7:$C$9</c:f>
              <c:numCache>
                <c:formatCode>"R$"\ #,##0.00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0933384"/>
        <c:axId val="400935736"/>
      </c:barChart>
      <c:catAx>
        <c:axId val="400933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pt-BR"/>
          </a:p>
        </c:txPr>
        <c:crossAx val="400935736"/>
        <c:crosses val="autoZero"/>
        <c:auto val="1"/>
        <c:lblAlgn val="ctr"/>
        <c:lblOffset val="100"/>
        <c:noMultiLvlLbl val="0"/>
      </c:catAx>
      <c:valAx>
        <c:axId val="400935736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400933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.xml"/><Relationship Id="rId1" Type="http://schemas.openxmlformats.org/officeDocument/2006/relationships/image" Target="../media/image9.png"/><Relationship Id="rId11" Type="http://schemas.openxmlformats.org/officeDocument/2006/relationships/image" Target="../media/image4.png"/><Relationship Id="rId5" Type="http://schemas.openxmlformats.org/officeDocument/2006/relationships/image" Target="../media/image8.png"/><Relationship Id="rId10" Type="http://schemas.openxmlformats.org/officeDocument/2006/relationships/image" Target="../media/image10.sv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=""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=""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=""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="" xmlns:a16="http://schemas.microsoft.com/office/drawing/2014/main" id="{EAED0B10-9B9B-4C87-AA2F-D30DEB957E50}"/>
            </a:ext>
          </a:extLst>
        </xdr:cNvPr>
        <xdr:cNvSpPr/>
      </xdr:nvSpPr>
      <xdr:spPr>
        <a:xfrm>
          <a:off x="6502400" y="2422525"/>
          <a:ext cx="746125" cy="641350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260350</xdr:colOff>
      <xdr:row>19</xdr:row>
      <xdr:rowOff>149225</xdr:rowOff>
    </xdr:from>
    <xdr:to>
      <xdr:col>3</xdr:col>
      <xdr:colOff>260350</xdr:colOff>
      <xdr:row>26</xdr:row>
      <xdr:rowOff>41275</xdr:rowOff>
    </xdr:to>
    <xdr:pic>
      <xdr:nvPicPr>
        <xdr:cNvPr id="12" name="Imagem 11">
          <a:extLst>
            <a:ext uri="{FF2B5EF4-FFF2-40B4-BE49-F238E27FC236}">
              <a16:creationId xmlns=""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750" y="3679825"/>
          <a:ext cx="1320800" cy="1136650"/>
        </a:xfrm>
        <a:prstGeom prst="rect">
          <a:avLst/>
        </a:prstGeom>
      </xdr:spPr>
    </xdr:pic>
    <xdr:clientData/>
  </xdr:twoCellAnchor>
  <xdr:twoCellAnchor editAs="absolute">
    <xdr:from>
      <xdr:col>4</xdr:col>
      <xdr:colOff>231775</xdr:colOff>
      <xdr:row>20</xdr:row>
      <xdr:rowOff>165099</xdr:rowOff>
    </xdr:from>
    <xdr:to>
      <xdr:col>6</xdr:col>
      <xdr:colOff>612851</xdr:colOff>
      <xdr:row>24</xdr:row>
      <xdr:rowOff>155575</xdr:rowOff>
    </xdr:to>
    <xdr:grpSp>
      <xdr:nvGrpSpPr>
        <xdr:cNvPr id="17" name="Agrupar 16">
          <a:extLst>
            <a:ext uri="{FF2B5EF4-FFF2-40B4-BE49-F238E27FC236}">
              <a16:creationId xmlns=""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2873375" y="3873499"/>
          <a:ext cx="1701876" cy="7016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=""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=""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=""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134924</xdr:colOff>
      <xdr:row>0</xdr:row>
      <xdr:rowOff>39690</xdr:rowOff>
    </xdr:from>
    <xdr:to>
      <xdr:col>2</xdr:col>
      <xdr:colOff>555624</xdr:colOff>
      <xdr:row>3</xdr:row>
      <xdr:rowOff>36106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02" t="13924" r="71401" b="15190"/>
        <a:stretch/>
      </xdr:blipFill>
      <xdr:spPr>
        <a:xfrm>
          <a:off x="1928799" y="39690"/>
          <a:ext cx="690575" cy="718729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15</xdr:row>
      <xdr:rowOff>111126</xdr:rowOff>
    </xdr:from>
    <xdr:to>
      <xdr:col>13</xdr:col>
      <xdr:colOff>619125</xdr:colOff>
      <xdr:row>23</xdr:row>
      <xdr:rowOff>71438</xdr:rowOff>
    </xdr:to>
    <xdr:grpSp>
      <xdr:nvGrpSpPr>
        <xdr:cNvPr id="23" name="Grupo 22"/>
        <xdr:cNvGrpSpPr/>
      </xdr:nvGrpSpPr>
      <xdr:grpSpPr>
        <a:xfrm>
          <a:off x="1889125" y="3071814"/>
          <a:ext cx="7881938" cy="1357312"/>
          <a:chOff x="1889125" y="3000376"/>
          <a:chExt cx="7881938" cy="1357312"/>
        </a:xfrm>
      </xdr:grpSpPr>
      <xdr:sp macro="" textlink="">
        <xdr:nvSpPr>
          <xdr:cNvPr id="6" name="Retângulo de cantos arredondados 5"/>
          <xdr:cNvSpPr/>
        </xdr:nvSpPr>
        <xdr:spPr>
          <a:xfrm>
            <a:off x="1889125" y="3000376"/>
            <a:ext cx="7881938" cy="1357312"/>
          </a:xfrm>
          <a:prstGeom prst="roundRect">
            <a:avLst>
              <a:gd name="adj" fmla="val 573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" name="Gráfico 3"/>
          <xdr:cNvGraphicFramePr>
            <a:graphicFrameLocks/>
          </xdr:cNvGraphicFramePr>
        </xdr:nvGraphicFramePr>
        <xdr:xfrm>
          <a:off x="2123282" y="3090410"/>
          <a:ext cx="7473156" cy="117724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0</xdr:col>
      <xdr:colOff>0</xdr:colOff>
      <xdr:row>6</xdr:row>
      <xdr:rowOff>1</xdr:rowOff>
    </xdr:from>
    <xdr:to>
      <xdr:col>0</xdr:col>
      <xdr:colOff>1789200</xdr:colOff>
      <xdr:row>12</xdr:row>
      <xdr:rowOff>15875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43001"/>
              <a:ext cx="1789200" cy="13096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111125</xdr:colOff>
      <xdr:row>4</xdr:row>
      <xdr:rowOff>95250</xdr:rowOff>
    </xdr:from>
    <xdr:to>
      <xdr:col>7</xdr:col>
      <xdr:colOff>206376</xdr:colOff>
      <xdr:row>13</xdr:row>
      <xdr:rowOff>7938</xdr:rowOff>
    </xdr:to>
    <xdr:grpSp>
      <xdr:nvGrpSpPr>
        <xdr:cNvPr id="11" name="Grupo 10"/>
        <xdr:cNvGrpSpPr/>
      </xdr:nvGrpSpPr>
      <xdr:grpSpPr>
        <a:xfrm>
          <a:off x="1905000" y="984250"/>
          <a:ext cx="3659189" cy="1635126"/>
          <a:chOff x="1889125" y="1508125"/>
          <a:chExt cx="3659189" cy="1635126"/>
        </a:xfrm>
      </xdr:grpSpPr>
      <xdr:sp macro="" textlink="">
        <xdr:nvSpPr>
          <xdr:cNvPr id="8" name="Retângulo de cantos arredondados 7"/>
          <xdr:cNvSpPr/>
        </xdr:nvSpPr>
        <xdr:spPr>
          <a:xfrm>
            <a:off x="1889125" y="1785939"/>
            <a:ext cx="3659189" cy="1357312"/>
          </a:xfrm>
          <a:prstGeom prst="roundRect">
            <a:avLst>
              <a:gd name="adj" fmla="val 573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18">
        <xdr:nvSpPr>
          <xdr:cNvPr id="9" name="Retângulo de cantos arredondados 8"/>
          <xdr:cNvSpPr/>
        </xdr:nvSpPr>
        <xdr:spPr>
          <a:xfrm>
            <a:off x="3571879" y="1924844"/>
            <a:ext cx="1825625" cy="985838"/>
          </a:xfrm>
          <a:prstGeom prst="roundRect">
            <a:avLst>
              <a:gd name="adj" fmla="val 5735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0BB57DF-DA23-44AE-881B-3D168EFDBFA7}" type="TxLink">
              <a:rPr lang="en-US" sz="2000" b="1" i="0" u="none" strike="noStrike">
                <a:solidFill>
                  <a:srgbClr val="5BF6A8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pPr algn="ctr"/>
              <a:t>R$ 1.350,00</a:t>
            </a:fld>
            <a:endParaRPr lang="pt-BR" sz="2000" b="1">
              <a:solidFill>
                <a:srgbClr val="5BF6A8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="" xmlns:a16="http://schemas.microsoft.com/office/drawing/2014/main" id="{34E653DD-5BBB-B7D9-BDBD-2F59393458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47879" y="1849438"/>
            <a:ext cx="1320800" cy="1136650"/>
          </a:xfrm>
          <a:prstGeom prst="rect">
            <a:avLst/>
          </a:prstGeom>
        </xdr:spPr>
      </xdr:pic>
      <xdr:sp macro="" textlink="">
        <xdr:nvSpPr>
          <xdr:cNvPr id="2" name="Arredondar Retângulo no Mesmo Canto Lateral 1"/>
          <xdr:cNvSpPr/>
        </xdr:nvSpPr>
        <xdr:spPr>
          <a:xfrm>
            <a:off x="1889125" y="1508125"/>
            <a:ext cx="3657600" cy="3600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TOTAL SUBSCRIPTION EA PLAY SEASON PASS</a:t>
            </a:r>
          </a:p>
        </xdr:txBody>
      </xdr:sp>
    </xdr:grpSp>
    <xdr:clientData/>
  </xdr:twoCellAnchor>
  <xdr:twoCellAnchor editAs="absolute">
    <xdr:from>
      <xdr:col>8</xdr:col>
      <xdr:colOff>120650</xdr:colOff>
      <xdr:row>6</xdr:row>
      <xdr:rowOff>119064</xdr:rowOff>
    </xdr:from>
    <xdr:to>
      <xdr:col>13</xdr:col>
      <xdr:colOff>644526</xdr:colOff>
      <xdr:row>13</xdr:row>
      <xdr:rowOff>7938</xdr:rowOff>
    </xdr:to>
    <xdr:sp macro="" textlink="">
      <xdr:nvSpPr>
        <xdr:cNvPr id="13" name="Retângulo de cantos arredondados 12"/>
        <xdr:cNvSpPr/>
      </xdr:nvSpPr>
      <xdr:spPr>
        <a:xfrm>
          <a:off x="6137275" y="1262064"/>
          <a:ext cx="3659189" cy="1357312"/>
        </a:xfrm>
        <a:prstGeom prst="roundRect">
          <a:avLst>
            <a:gd name="adj" fmla="val 573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10</xdr:col>
      <xdr:colOff>485779</xdr:colOff>
      <xdr:row>6</xdr:row>
      <xdr:rowOff>257969</xdr:rowOff>
    </xdr:from>
    <xdr:to>
      <xdr:col>13</xdr:col>
      <xdr:colOff>493716</xdr:colOff>
      <xdr:row>11</xdr:row>
      <xdr:rowOff>124619</xdr:rowOff>
    </xdr:to>
    <xdr:sp macro="" textlink="C̳álculos!D30">
      <xdr:nvSpPr>
        <xdr:cNvPr id="14" name="Retângulo de cantos arredondados 13"/>
        <xdr:cNvSpPr/>
      </xdr:nvSpPr>
      <xdr:spPr>
        <a:xfrm>
          <a:off x="7820029" y="1400969"/>
          <a:ext cx="1825625" cy="985838"/>
        </a:xfrm>
        <a:prstGeom prst="roundRect">
          <a:avLst>
            <a:gd name="adj" fmla="val 5735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A7EE415-D196-4DAE-8C16-EE78D97A10B7}" type="TxLink">
            <a:rPr lang="en-US" sz="2000" b="1" i="0" u="none" strike="noStrike">
              <a:solidFill>
                <a:srgbClr val="5BF6A8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 algn="ctr"/>
            <a:t>R$ 1.800,00</a:t>
          </a:fld>
          <a:endParaRPr lang="pt-BR" sz="4800" b="1">
            <a:solidFill>
              <a:srgbClr val="5BF6A8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absolute">
    <xdr:from>
      <xdr:col>8</xdr:col>
      <xdr:colOff>120650</xdr:colOff>
      <xdr:row>4</xdr:row>
      <xdr:rowOff>95250</xdr:rowOff>
    </xdr:from>
    <xdr:to>
      <xdr:col>13</xdr:col>
      <xdr:colOff>642937</xdr:colOff>
      <xdr:row>6</xdr:row>
      <xdr:rowOff>201250</xdr:rowOff>
    </xdr:to>
    <xdr:sp macro="" textlink="">
      <xdr:nvSpPr>
        <xdr:cNvPr id="16" name="Arredondar Retângulo no Mesmo Canto Lateral 15"/>
        <xdr:cNvSpPr/>
      </xdr:nvSpPr>
      <xdr:spPr>
        <a:xfrm>
          <a:off x="6137275" y="984250"/>
          <a:ext cx="3657600" cy="360000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SUBSCRIPTION MINECRAFTSEASON PASS</a:t>
          </a:r>
        </a:p>
      </xdr:txBody>
    </xdr:sp>
    <xdr:clientData/>
  </xdr:twoCellAnchor>
  <xdr:twoCellAnchor editAs="absolute">
    <xdr:from>
      <xdr:col>8</xdr:col>
      <xdr:colOff>320079</xdr:colOff>
      <xdr:row>7</xdr:row>
      <xdr:rowOff>47622</xdr:rowOff>
    </xdr:from>
    <xdr:to>
      <xdr:col>10</xdr:col>
      <xdr:colOff>298454</xdr:colOff>
      <xdr:row>10</xdr:row>
      <xdr:rowOff>58082</xdr:rowOff>
    </xdr:to>
    <xdr:grpSp>
      <xdr:nvGrpSpPr>
        <xdr:cNvPr id="20" name="Agrupar 16">
          <a:extLst>
            <a:ext uri="{FF2B5EF4-FFF2-40B4-BE49-F238E27FC236}">
              <a16:creationId xmlns="" xmlns:a16="http://schemas.microsoft.com/office/drawing/2014/main" id="{A71E6AF1-ADEE-EB3B-0380-7B4EF5640C97}"/>
            </a:ext>
          </a:extLst>
        </xdr:cNvPr>
        <xdr:cNvGrpSpPr>
          <a:grpSpLocks noChangeAspect="1"/>
        </xdr:cNvGrpSpPr>
      </xdr:nvGrpSpPr>
      <xdr:grpSpPr>
        <a:xfrm>
          <a:off x="6336704" y="1611310"/>
          <a:ext cx="1296000" cy="534335"/>
          <a:chOff x="3495675" y="5400674"/>
          <a:chExt cx="1549476" cy="752476"/>
        </a:xfrm>
      </xdr:grpSpPr>
      <xdr:pic>
        <xdr:nvPicPr>
          <xdr:cNvPr id="21" name="Imagem 20">
            <a:extLst>
              <a:ext uri="{FF2B5EF4-FFF2-40B4-BE49-F238E27FC236}">
                <a16:creationId xmlns=""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2" name="Gráfico 13">
            <a:extLst>
              <a:ext uri="{FF2B5EF4-FFF2-40B4-BE49-F238E27FC236}">
                <a16:creationId xmlns=""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=""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absolute">
    <xdr:from>
      <xdr:col>1</xdr:col>
      <xdr:colOff>95250</xdr:colOff>
      <xdr:row>14</xdr:row>
      <xdr:rowOff>55562</xdr:rowOff>
    </xdr:from>
    <xdr:to>
      <xdr:col>13</xdr:col>
      <xdr:colOff>617587</xdr:colOff>
      <xdr:row>16</xdr:row>
      <xdr:rowOff>66312</xdr:rowOff>
    </xdr:to>
    <xdr:sp macro="" textlink="">
      <xdr:nvSpPr>
        <xdr:cNvPr id="24" name="Arredondar Retângulo no Mesmo Canto Lateral 23"/>
        <xdr:cNvSpPr/>
      </xdr:nvSpPr>
      <xdr:spPr>
        <a:xfrm>
          <a:off x="1889125" y="2841625"/>
          <a:ext cx="7880400" cy="360000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SUBSCRIPTION XBOX GAME PASS</a:t>
          </a:r>
        </a:p>
      </xdr:txBody>
    </xdr:sp>
    <xdr:clientData/>
  </xdr:twoCellAnchor>
  <xdr:twoCellAnchor editAs="absolute">
    <xdr:from>
      <xdr:col>0</xdr:col>
      <xdr:colOff>174625</xdr:colOff>
      <xdr:row>0</xdr:row>
      <xdr:rowOff>150812</xdr:rowOff>
    </xdr:from>
    <xdr:to>
      <xdr:col>0</xdr:col>
      <xdr:colOff>822625</xdr:colOff>
      <xdr:row>2</xdr:row>
      <xdr:rowOff>136316</xdr:rowOff>
    </xdr:to>
    <xdr:sp macro="" textlink="">
      <xdr:nvSpPr>
        <xdr:cNvPr id="25" name="Elipse 24">
          <a:extLst>
            <a:ext uri="{FF2B5EF4-FFF2-40B4-BE49-F238E27FC236}">
              <a16:creationId xmlns="" xmlns:a16="http://schemas.microsoft.com/office/drawing/2014/main" id="{77505866-F9E1-4D72-A197-04B674005FDF}"/>
            </a:ext>
          </a:extLst>
        </xdr:cNvPr>
        <xdr:cNvSpPr>
          <a:spLocks noChangeAspect="1"/>
        </xdr:cNvSpPr>
      </xdr:nvSpPr>
      <xdr:spPr>
        <a:xfrm>
          <a:off x="174625" y="150812"/>
          <a:ext cx="648000" cy="557004"/>
        </a:xfrm>
        <a:prstGeom prst="ellipse">
          <a:avLst/>
        </a:prstGeom>
        <a:blipFill>
          <a:blip xmlns:r="http://schemas.openxmlformats.org/officeDocument/2006/relationships" r:embed="rId1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71442</xdr:colOff>
      <xdr:row>4</xdr:row>
      <xdr:rowOff>23812</xdr:rowOff>
    </xdr:from>
    <xdr:to>
      <xdr:col>0</xdr:col>
      <xdr:colOff>1690692</xdr:colOff>
      <xdr:row>5</xdr:row>
      <xdr:rowOff>113933</xdr:rowOff>
    </xdr:to>
    <xdr:sp macro="" textlink="">
      <xdr:nvSpPr>
        <xdr:cNvPr id="27" name="Retângulo 26"/>
        <xdr:cNvSpPr/>
      </xdr:nvSpPr>
      <xdr:spPr>
        <a:xfrm>
          <a:off x="71442" y="841375"/>
          <a:ext cx="1619250" cy="225058"/>
        </a:xfrm>
        <a:prstGeom prst="rect">
          <a:avLst/>
        </a:prstGeom>
        <a:solidFill>
          <a:srgbClr val="2AE6B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Ben vinda , Liana!</a:t>
          </a:r>
        </a:p>
      </xdr:txBody>
    </xdr:sp>
    <xdr:clientData/>
  </xdr:twoCellAnchor>
  <xdr:twoCellAnchor>
    <xdr:from>
      <xdr:col>1</xdr:col>
      <xdr:colOff>79375</xdr:colOff>
      <xdr:row>3</xdr:row>
      <xdr:rowOff>0</xdr:rowOff>
    </xdr:from>
    <xdr:to>
      <xdr:col>8</xdr:col>
      <xdr:colOff>55563</xdr:colOff>
      <xdr:row>4</xdr:row>
      <xdr:rowOff>95250</xdr:rowOff>
    </xdr:to>
    <xdr:sp macro="" textlink="">
      <xdr:nvSpPr>
        <xdr:cNvPr id="26" name="Retângulo 25"/>
        <xdr:cNvSpPr/>
      </xdr:nvSpPr>
      <xdr:spPr>
        <a:xfrm>
          <a:off x="1873250" y="722313"/>
          <a:ext cx="4198938" cy="2619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 b="1">
              <a:solidFill>
                <a:schemeClr val="bg1">
                  <a:lumMod val="6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Período Apuração:</a:t>
          </a:r>
          <a:r>
            <a:rPr lang="pt-BR" sz="900" b="1" baseline="0">
              <a:solidFill>
                <a:schemeClr val="bg1">
                  <a:lumMod val="6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01/01/2024 à 31/12/2024 | Update date: 25/12/2024 01:00:00</a:t>
          </a:r>
          <a:endParaRPr lang="pt-BR" sz="900" b="1">
            <a:solidFill>
              <a:schemeClr val="bg1">
                <a:lumMod val="65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EQUIEL COUTINHO MALASPINA EZEQUIC" refreshedDate="46062.922145138888" createdVersion="5" refreshedVersion="5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d v="2024-01-01T00:00:00"/>
    <x v="0"/>
    <n v="15"/>
    <x v="0"/>
    <x v="0"/>
    <n v="30"/>
    <s v="Yes"/>
    <n v="20"/>
    <n v="5"/>
    <n v="60"/>
  </r>
  <r>
    <n v="3232"/>
    <x v="1"/>
    <x v="1"/>
    <d v="2024-01-15T00:00:00"/>
    <x v="1"/>
    <n v="5"/>
    <x v="1"/>
    <x v="1"/>
    <s v="-"/>
    <s v="No"/>
    <n v="0"/>
    <n v="0"/>
    <n v="5"/>
  </r>
  <r>
    <n v="3233"/>
    <x v="2"/>
    <x v="2"/>
    <d v="2024-02-10T00:00:00"/>
    <x v="0"/>
    <n v="10"/>
    <x v="2"/>
    <x v="1"/>
    <s v="-"/>
    <s v="Yes"/>
    <n v="20"/>
    <n v="10"/>
    <n v="20"/>
  </r>
  <r>
    <n v="3234"/>
    <x v="3"/>
    <x v="0"/>
    <d v="2024-02-20T00:00:00"/>
    <x v="1"/>
    <n v="15"/>
    <x v="0"/>
    <x v="0"/>
    <n v="30"/>
    <s v="Yes"/>
    <n v="20"/>
    <n v="3"/>
    <n v="62"/>
  </r>
  <r>
    <n v="3235"/>
    <x v="4"/>
    <x v="1"/>
    <d v="2024-03-05T00:00:00"/>
    <x v="0"/>
    <n v="5"/>
    <x v="0"/>
    <x v="1"/>
    <s v="-"/>
    <s v="No"/>
    <n v="0"/>
    <n v="1"/>
    <n v="4"/>
  </r>
  <r>
    <n v="3236"/>
    <x v="5"/>
    <x v="2"/>
    <d v="2024-03-02T00:00:00"/>
    <x v="1"/>
    <n v="10"/>
    <x v="0"/>
    <x v="1"/>
    <s v="-"/>
    <s v="Yes"/>
    <n v="20"/>
    <n v="2"/>
    <n v="28"/>
  </r>
  <r>
    <n v="3237"/>
    <x v="6"/>
    <x v="0"/>
    <d v="2024-03-03T00:00:00"/>
    <x v="0"/>
    <n v="15"/>
    <x v="2"/>
    <x v="0"/>
    <n v="30"/>
    <s v="Yes"/>
    <n v="20"/>
    <n v="10"/>
    <n v="55"/>
  </r>
  <r>
    <n v="3238"/>
    <x v="7"/>
    <x v="1"/>
    <d v="2024-03-04T00:00:00"/>
    <x v="0"/>
    <n v="5"/>
    <x v="1"/>
    <x v="1"/>
    <s v="-"/>
    <s v="No"/>
    <n v="0"/>
    <n v="0"/>
    <n v="5"/>
  </r>
  <r>
    <n v="3239"/>
    <x v="8"/>
    <x v="0"/>
    <d v="2024-03-05T00:00:00"/>
    <x v="1"/>
    <n v="15"/>
    <x v="0"/>
    <x v="0"/>
    <n v="30"/>
    <s v="Yes"/>
    <n v="20"/>
    <n v="5"/>
    <n v="60"/>
  </r>
  <r>
    <n v="3240"/>
    <x v="9"/>
    <x v="2"/>
    <d v="2024-03-06T00:00:00"/>
    <x v="0"/>
    <n v="10"/>
    <x v="2"/>
    <x v="1"/>
    <s v="-"/>
    <s v="Yes"/>
    <n v="20"/>
    <n v="15"/>
    <n v="15"/>
  </r>
  <r>
    <n v="3241"/>
    <x v="10"/>
    <x v="1"/>
    <d v="2024-03-07T00:00:00"/>
    <x v="1"/>
    <n v="5"/>
    <x v="0"/>
    <x v="1"/>
    <s v="-"/>
    <s v="No"/>
    <n v="0"/>
    <n v="1"/>
    <n v="4"/>
  </r>
  <r>
    <n v="3242"/>
    <x v="11"/>
    <x v="0"/>
    <d v="2024-03-08T00:00:00"/>
    <x v="0"/>
    <n v="15"/>
    <x v="1"/>
    <x v="0"/>
    <n v="30"/>
    <s v="Yes"/>
    <n v="20"/>
    <n v="20"/>
    <n v="45"/>
  </r>
  <r>
    <n v="3243"/>
    <x v="12"/>
    <x v="2"/>
    <d v="2024-03-09T00:00:00"/>
    <x v="1"/>
    <n v="10"/>
    <x v="0"/>
    <x v="1"/>
    <s v="-"/>
    <s v="Yes"/>
    <n v="20"/>
    <n v="10"/>
    <n v="20"/>
  </r>
  <r>
    <n v="3244"/>
    <x v="13"/>
    <x v="1"/>
    <d v="2024-03-10T00:00:00"/>
    <x v="0"/>
    <n v="5"/>
    <x v="2"/>
    <x v="1"/>
    <s v="-"/>
    <s v="No"/>
    <n v="0"/>
    <n v="0"/>
    <n v="5"/>
  </r>
  <r>
    <n v="3245"/>
    <x v="14"/>
    <x v="0"/>
    <d v="2024-03-11T00:00:00"/>
    <x v="1"/>
    <n v="15"/>
    <x v="0"/>
    <x v="0"/>
    <n v="30"/>
    <s v="Yes"/>
    <n v="20"/>
    <n v="8"/>
    <n v="57"/>
  </r>
  <r>
    <n v="3246"/>
    <x v="15"/>
    <x v="2"/>
    <d v="2024-03-12T00:00:00"/>
    <x v="0"/>
    <n v="10"/>
    <x v="1"/>
    <x v="1"/>
    <s v="-"/>
    <s v="Yes"/>
    <n v="20"/>
    <n v="12"/>
    <n v="18"/>
  </r>
  <r>
    <n v="3247"/>
    <x v="16"/>
    <x v="1"/>
    <d v="2024-03-13T00:00:00"/>
    <x v="1"/>
    <n v="5"/>
    <x v="0"/>
    <x v="1"/>
    <s v="-"/>
    <s v="No"/>
    <n v="0"/>
    <n v="2"/>
    <n v="3"/>
  </r>
  <r>
    <n v="3248"/>
    <x v="17"/>
    <x v="0"/>
    <d v="2024-03-14T00:00:00"/>
    <x v="0"/>
    <n v="15"/>
    <x v="2"/>
    <x v="0"/>
    <n v="30"/>
    <s v="Yes"/>
    <n v="20"/>
    <n v="7"/>
    <n v="58"/>
  </r>
  <r>
    <n v="3249"/>
    <x v="18"/>
    <x v="2"/>
    <d v="2024-03-15T00:00:00"/>
    <x v="1"/>
    <n v="10"/>
    <x v="0"/>
    <x v="1"/>
    <s v="-"/>
    <s v="Yes"/>
    <n v="20"/>
    <n v="5"/>
    <n v="25"/>
  </r>
  <r>
    <n v="3250"/>
    <x v="19"/>
    <x v="1"/>
    <d v="2024-03-16T00:00:00"/>
    <x v="0"/>
    <n v="5"/>
    <x v="1"/>
    <x v="1"/>
    <s v="-"/>
    <s v="No"/>
    <n v="0"/>
    <n v="0"/>
    <n v="5"/>
  </r>
  <r>
    <n v="3251"/>
    <x v="20"/>
    <x v="0"/>
    <d v="2024-03-17T00:00:00"/>
    <x v="1"/>
    <n v="15"/>
    <x v="0"/>
    <x v="0"/>
    <n v="30"/>
    <s v="Yes"/>
    <n v="20"/>
    <n v="3"/>
    <n v="62"/>
  </r>
  <r>
    <n v="3252"/>
    <x v="21"/>
    <x v="2"/>
    <d v="2024-03-18T00:00:00"/>
    <x v="0"/>
    <n v="10"/>
    <x v="2"/>
    <x v="1"/>
    <s v="-"/>
    <s v="Yes"/>
    <n v="20"/>
    <n v="15"/>
    <n v="15"/>
  </r>
  <r>
    <n v="3253"/>
    <x v="22"/>
    <x v="1"/>
    <d v="2024-03-19T00:00:00"/>
    <x v="1"/>
    <n v="5"/>
    <x v="0"/>
    <x v="1"/>
    <s v="-"/>
    <s v="No"/>
    <n v="0"/>
    <n v="1"/>
    <n v="4"/>
  </r>
  <r>
    <n v="3254"/>
    <x v="23"/>
    <x v="0"/>
    <d v="2024-03-20T00:00:00"/>
    <x v="0"/>
    <n v="15"/>
    <x v="1"/>
    <x v="0"/>
    <n v="30"/>
    <s v="Yes"/>
    <n v="20"/>
    <n v="20"/>
    <n v="45"/>
  </r>
  <r>
    <n v="3255"/>
    <x v="24"/>
    <x v="2"/>
    <d v="2024-03-21T00:00:00"/>
    <x v="1"/>
    <n v="10"/>
    <x v="0"/>
    <x v="1"/>
    <s v="-"/>
    <s v="Yes"/>
    <n v="20"/>
    <n v="10"/>
    <n v="20"/>
  </r>
  <r>
    <n v="3256"/>
    <x v="25"/>
    <x v="1"/>
    <d v="2024-03-22T00:00:00"/>
    <x v="0"/>
    <n v="5"/>
    <x v="2"/>
    <x v="1"/>
    <s v="-"/>
    <s v="No"/>
    <n v="0"/>
    <n v="0"/>
    <n v="5"/>
  </r>
  <r>
    <n v="3257"/>
    <x v="26"/>
    <x v="0"/>
    <d v="2024-03-23T00:00:00"/>
    <x v="1"/>
    <n v="15"/>
    <x v="0"/>
    <x v="0"/>
    <n v="30"/>
    <s v="Yes"/>
    <n v="20"/>
    <n v="5"/>
    <n v="60"/>
  </r>
  <r>
    <n v="3258"/>
    <x v="27"/>
    <x v="2"/>
    <d v="2024-03-24T00:00:00"/>
    <x v="0"/>
    <n v="10"/>
    <x v="1"/>
    <x v="1"/>
    <s v="-"/>
    <s v="Yes"/>
    <n v="20"/>
    <n v="15"/>
    <n v="15"/>
  </r>
  <r>
    <n v="3259"/>
    <x v="28"/>
    <x v="1"/>
    <d v="2024-03-25T00:00:00"/>
    <x v="1"/>
    <n v="5"/>
    <x v="0"/>
    <x v="1"/>
    <s v="-"/>
    <s v="No"/>
    <n v="0"/>
    <n v="1"/>
    <n v="4"/>
  </r>
  <r>
    <n v="3260"/>
    <x v="29"/>
    <x v="0"/>
    <d v="2024-03-26T00:00:00"/>
    <x v="0"/>
    <n v="15"/>
    <x v="2"/>
    <x v="0"/>
    <n v="30"/>
    <s v="Yes"/>
    <n v="20"/>
    <n v="7"/>
    <n v="58"/>
  </r>
  <r>
    <n v="3261"/>
    <x v="30"/>
    <x v="2"/>
    <d v="2024-03-27T00:00:00"/>
    <x v="1"/>
    <n v="10"/>
    <x v="0"/>
    <x v="1"/>
    <s v="-"/>
    <s v="Yes"/>
    <n v="20"/>
    <n v="10"/>
    <n v="20"/>
  </r>
  <r>
    <n v="3262"/>
    <x v="31"/>
    <x v="1"/>
    <d v="2024-03-28T00:00:00"/>
    <x v="0"/>
    <n v="5"/>
    <x v="1"/>
    <x v="1"/>
    <s v="-"/>
    <s v="No"/>
    <n v="0"/>
    <n v="0"/>
    <n v="5"/>
  </r>
  <r>
    <n v="3263"/>
    <x v="32"/>
    <x v="0"/>
    <d v="2024-03-29T00:00:00"/>
    <x v="1"/>
    <n v="15"/>
    <x v="0"/>
    <x v="0"/>
    <n v="30"/>
    <s v="Yes"/>
    <n v="20"/>
    <n v="3"/>
    <n v="62"/>
  </r>
  <r>
    <n v="3264"/>
    <x v="33"/>
    <x v="2"/>
    <d v="2024-03-30T00:00:00"/>
    <x v="0"/>
    <n v="10"/>
    <x v="2"/>
    <x v="1"/>
    <s v="-"/>
    <s v="Yes"/>
    <n v="20"/>
    <n v="15"/>
    <n v="15"/>
  </r>
  <r>
    <n v="3265"/>
    <x v="34"/>
    <x v="1"/>
    <d v="2024-03-31T00:00:00"/>
    <x v="1"/>
    <n v="5"/>
    <x v="0"/>
    <x v="1"/>
    <s v="-"/>
    <s v="No"/>
    <n v="0"/>
    <n v="1"/>
    <n v="4"/>
  </r>
  <r>
    <n v="3266"/>
    <x v="35"/>
    <x v="1"/>
    <d v="2024-04-01T00:00:00"/>
    <x v="0"/>
    <n v="5"/>
    <x v="0"/>
    <x v="1"/>
    <s v="-"/>
    <s v="No"/>
    <n v="0"/>
    <n v="0"/>
    <n v="5"/>
  </r>
  <r>
    <n v="3267"/>
    <x v="36"/>
    <x v="0"/>
    <d v="2024-04-02T00:00:00"/>
    <x v="1"/>
    <n v="15"/>
    <x v="2"/>
    <x v="0"/>
    <n v="30"/>
    <s v="Yes"/>
    <n v="20"/>
    <n v="7"/>
    <n v="58"/>
  </r>
  <r>
    <n v="3268"/>
    <x v="37"/>
    <x v="2"/>
    <d v="2024-04-03T00:00:00"/>
    <x v="0"/>
    <n v="10"/>
    <x v="1"/>
    <x v="1"/>
    <s v="-"/>
    <s v="Yes"/>
    <n v="20"/>
    <n v="10"/>
    <n v="20"/>
  </r>
  <r>
    <n v="3269"/>
    <x v="38"/>
    <x v="1"/>
    <d v="2024-04-04T00:00:00"/>
    <x v="1"/>
    <n v="5"/>
    <x v="2"/>
    <x v="1"/>
    <s v="-"/>
    <s v="No"/>
    <n v="0"/>
    <n v="1"/>
    <n v="4"/>
  </r>
  <r>
    <n v="3270"/>
    <x v="39"/>
    <x v="0"/>
    <d v="2024-04-05T00:00:00"/>
    <x v="0"/>
    <n v="15"/>
    <x v="0"/>
    <x v="0"/>
    <n v="30"/>
    <s v="Yes"/>
    <n v="20"/>
    <n v="15"/>
    <n v="50"/>
  </r>
  <r>
    <n v="3271"/>
    <x v="40"/>
    <x v="2"/>
    <d v="2024-04-06T00:00:00"/>
    <x v="1"/>
    <n v="10"/>
    <x v="0"/>
    <x v="1"/>
    <s v="-"/>
    <s v="Yes"/>
    <n v="20"/>
    <n v="5"/>
    <n v="25"/>
  </r>
  <r>
    <n v="3272"/>
    <x v="41"/>
    <x v="1"/>
    <d v="2024-04-07T00:00:00"/>
    <x v="0"/>
    <n v="5"/>
    <x v="1"/>
    <x v="1"/>
    <s v="-"/>
    <s v="No"/>
    <n v="0"/>
    <n v="0"/>
    <n v="5"/>
  </r>
  <r>
    <n v="3273"/>
    <x v="42"/>
    <x v="0"/>
    <d v="2024-04-08T00:00:00"/>
    <x v="1"/>
    <n v="15"/>
    <x v="2"/>
    <x v="0"/>
    <n v="30"/>
    <s v="Yes"/>
    <n v="20"/>
    <n v="20"/>
    <n v="45"/>
  </r>
  <r>
    <n v="3274"/>
    <x v="43"/>
    <x v="2"/>
    <d v="2024-04-09T00:00:00"/>
    <x v="0"/>
    <n v="10"/>
    <x v="2"/>
    <x v="1"/>
    <s v="-"/>
    <s v="Yes"/>
    <n v="20"/>
    <n v="12"/>
    <n v="18"/>
  </r>
  <r>
    <n v="3275"/>
    <x v="44"/>
    <x v="1"/>
    <d v="2024-04-10T00:00:00"/>
    <x v="1"/>
    <n v="5"/>
    <x v="0"/>
    <x v="1"/>
    <s v="-"/>
    <s v="No"/>
    <n v="0"/>
    <n v="2"/>
    <n v="3"/>
  </r>
  <r>
    <n v="3276"/>
    <x v="45"/>
    <x v="0"/>
    <d v="2024-04-11T00:00:00"/>
    <x v="0"/>
    <n v="15"/>
    <x v="1"/>
    <x v="0"/>
    <n v="30"/>
    <s v="Yes"/>
    <n v="20"/>
    <n v="5"/>
    <n v="60"/>
  </r>
  <r>
    <n v="3277"/>
    <x v="46"/>
    <x v="2"/>
    <d v="2024-04-12T00:00:00"/>
    <x v="1"/>
    <n v="10"/>
    <x v="0"/>
    <x v="1"/>
    <s v="-"/>
    <s v="Yes"/>
    <n v="20"/>
    <n v="10"/>
    <n v="20"/>
  </r>
  <r>
    <n v="3278"/>
    <x v="47"/>
    <x v="1"/>
    <d v="2024-04-13T00:00:00"/>
    <x v="0"/>
    <n v="5"/>
    <x v="2"/>
    <x v="1"/>
    <s v="-"/>
    <s v="No"/>
    <n v="0"/>
    <n v="0"/>
    <n v="5"/>
  </r>
  <r>
    <n v="3279"/>
    <x v="48"/>
    <x v="0"/>
    <d v="2024-04-14T00:00:00"/>
    <x v="1"/>
    <n v="15"/>
    <x v="0"/>
    <x v="0"/>
    <n v="30"/>
    <s v="Yes"/>
    <n v="20"/>
    <n v="3"/>
    <n v="62"/>
  </r>
  <r>
    <n v="3280"/>
    <x v="49"/>
    <x v="2"/>
    <d v="2024-04-15T00:00:00"/>
    <x v="0"/>
    <n v="10"/>
    <x v="1"/>
    <x v="1"/>
    <s v="-"/>
    <s v="Yes"/>
    <n v="20"/>
    <n v="15"/>
    <n v="15"/>
  </r>
  <r>
    <n v="3281"/>
    <x v="50"/>
    <x v="1"/>
    <d v="2024-04-16T00:00:00"/>
    <x v="1"/>
    <n v="5"/>
    <x v="0"/>
    <x v="1"/>
    <s v="-"/>
    <s v="No"/>
    <n v="0"/>
    <n v="1"/>
    <n v="4"/>
  </r>
  <r>
    <n v="3282"/>
    <x v="51"/>
    <x v="0"/>
    <d v="2024-04-17T00:00:00"/>
    <x v="0"/>
    <n v="15"/>
    <x v="2"/>
    <x v="0"/>
    <n v="30"/>
    <s v="Yes"/>
    <n v="20"/>
    <n v="7"/>
    <n v="58"/>
  </r>
  <r>
    <n v="3283"/>
    <x v="52"/>
    <x v="2"/>
    <d v="2024-04-18T00:00:00"/>
    <x v="1"/>
    <n v="10"/>
    <x v="0"/>
    <x v="1"/>
    <s v="-"/>
    <s v="Yes"/>
    <n v="20"/>
    <n v="10"/>
    <n v="20"/>
  </r>
  <r>
    <n v="3284"/>
    <x v="53"/>
    <x v="1"/>
    <d v="2024-04-19T00:00:00"/>
    <x v="0"/>
    <n v="5"/>
    <x v="1"/>
    <x v="1"/>
    <s v="-"/>
    <s v="No"/>
    <n v="0"/>
    <n v="0"/>
    <n v="5"/>
  </r>
  <r>
    <n v="3285"/>
    <x v="54"/>
    <x v="0"/>
    <d v="2024-04-20T00:00:00"/>
    <x v="1"/>
    <n v="15"/>
    <x v="0"/>
    <x v="0"/>
    <n v="30"/>
    <s v="Yes"/>
    <n v="20"/>
    <n v="20"/>
    <n v="45"/>
  </r>
  <r>
    <n v="3286"/>
    <x v="55"/>
    <x v="2"/>
    <d v="2024-04-21T00:00:00"/>
    <x v="0"/>
    <n v="10"/>
    <x v="2"/>
    <x v="1"/>
    <s v="-"/>
    <s v="Yes"/>
    <n v="20"/>
    <n v="15"/>
    <n v="15"/>
  </r>
  <r>
    <n v="3287"/>
    <x v="56"/>
    <x v="1"/>
    <d v="2024-04-22T00:00:00"/>
    <x v="1"/>
    <n v="5"/>
    <x v="0"/>
    <x v="1"/>
    <s v="-"/>
    <s v="No"/>
    <n v="0"/>
    <n v="1"/>
    <n v="4"/>
  </r>
  <r>
    <n v="3288"/>
    <x v="57"/>
    <x v="0"/>
    <d v="2024-04-23T00:00:00"/>
    <x v="0"/>
    <n v="15"/>
    <x v="1"/>
    <x v="0"/>
    <n v="30"/>
    <s v="Yes"/>
    <n v="20"/>
    <n v="3"/>
    <n v="62"/>
  </r>
  <r>
    <n v="3289"/>
    <x v="58"/>
    <x v="2"/>
    <d v="2024-04-24T00:00:00"/>
    <x v="1"/>
    <n v="10"/>
    <x v="0"/>
    <x v="1"/>
    <s v="-"/>
    <s v="Yes"/>
    <n v="20"/>
    <n v="10"/>
    <n v="20"/>
  </r>
  <r>
    <n v="3290"/>
    <x v="59"/>
    <x v="1"/>
    <d v="2024-04-25T00:00:00"/>
    <x v="0"/>
    <n v="5"/>
    <x v="2"/>
    <x v="1"/>
    <s v="-"/>
    <s v="No"/>
    <n v="0"/>
    <n v="0"/>
    <n v="5"/>
  </r>
  <r>
    <n v="3291"/>
    <x v="60"/>
    <x v="0"/>
    <d v="2024-04-26T00:00:00"/>
    <x v="1"/>
    <n v="15"/>
    <x v="0"/>
    <x v="0"/>
    <n v="30"/>
    <s v="Yes"/>
    <n v="20"/>
    <n v="5"/>
    <n v="60"/>
  </r>
  <r>
    <n v="3292"/>
    <x v="61"/>
    <x v="2"/>
    <d v="2024-04-27T00:00:00"/>
    <x v="0"/>
    <n v="10"/>
    <x v="1"/>
    <x v="1"/>
    <s v="-"/>
    <s v="Yes"/>
    <n v="20"/>
    <n v="15"/>
    <n v="15"/>
  </r>
  <r>
    <n v="3293"/>
    <x v="62"/>
    <x v="1"/>
    <d v="2024-04-28T00:00:00"/>
    <x v="1"/>
    <n v="5"/>
    <x v="0"/>
    <x v="1"/>
    <s v="-"/>
    <s v="No"/>
    <n v="0"/>
    <n v="1"/>
    <n v="4"/>
  </r>
  <r>
    <n v="3294"/>
    <x v="63"/>
    <x v="0"/>
    <d v="2024-04-29T00:00:00"/>
    <x v="0"/>
    <n v="15"/>
    <x v="2"/>
    <x v="0"/>
    <n v="30"/>
    <s v="Yes"/>
    <n v="20"/>
    <n v="20"/>
    <n v="45"/>
  </r>
  <r>
    <n v="3295"/>
    <x v="64"/>
    <x v="2"/>
    <d v="2024-04-30T00:00:00"/>
    <x v="1"/>
    <n v="10"/>
    <x v="0"/>
    <x v="1"/>
    <s v="-"/>
    <s v="Yes"/>
    <n v="20"/>
    <n v="5"/>
    <n v="25"/>
  </r>
  <r>
    <n v="3296"/>
    <x v="65"/>
    <x v="1"/>
    <d v="2024-05-01T00:00:00"/>
    <x v="1"/>
    <n v="5"/>
    <x v="0"/>
    <x v="1"/>
    <s v="-"/>
    <s v="No"/>
    <n v="0"/>
    <n v="0"/>
    <n v="5"/>
  </r>
  <r>
    <n v="3297"/>
    <x v="66"/>
    <x v="0"/>
    <d v="2024-05-02T00:00:00"/>
    <x v="0"/>
    <n v="15"/>
    <x v="2"/>
    <x v="0"/>
    <n v="30"/>
    <s v="Yes"/>
    <n v="20"/>
    <n v="7"/>
    <n v="58"/>
  </r>
  <r>
    <n v="3298"/>
    <x v="67"/>
    <x v="2"/>
    <d v="2024-05-03T00:00:00"/>
    <x v="1"/>
    <n v="10"/>
    <x v="1"/>
    <x v="1"/>
    <s v="-"/>
    <s v="Yes"/>
    <n v="20"/>
    <n v="10"/>
    <n v="20"/>
  </r>
  <r>
    <n v="3299"/>
    <x v="68"/>
    <x v="1"/>
    <d v="2024-05-04T00:00:00"/>
    <x v="0"/>
    <n v="5"/>
    <x v="2"/>
    <x v="1"/>
    <s v="-"/>
    <s v="No"/>
    <n v="0"/>
    <n v="1"/>
    <n v="4"/>
  </r>
  <r>
    <n v="3300"/>
    <x v="69"/>
    <x v="0"/>
    <d v="2024-05-05T00:00:00"/>
    <x v="1"/>
    <n v="15"/>
    <x v="0"/>
    <x v="0"/>
    <n v="30"/>
    <s v="Yes"/>
    <n v="20"/>
    <n v="15"/>
    <n v="50"/>
  </r>
  <r>
    <n v="3301"/>
    <x v="70"/>
    <x v="2"/>
    <d v="2024-05-06T00:00:00"/>
    <x v="0"/>
    <n v="10"/>
    <x v="0"/>
    <x v="1"/>
    <s v="-"/>
    <s v="Yes"/>
    <n v="20"/>
    <n v="5"/>
    <n v="25"/>
  </r>
  <r>
    <n v="3302"/>
    <x v="71"/>
    <x v="1"/>
    <d v="2024-05-07T00:00:00"/>
    <x v="1"/>
    <n v="5"/>
    <x v="1"/>
    <x v="1"/>
    <s v="-"/>
    <s v="No"/>
    <n v="0"/>
    <n v="0"/>
    <n v="5"/>
  </r>
  <r>
    <n v="3303"/>
    <x v="72"/>
    <x v="0"/>
    <d v="2024-05-08T00:00:00"/>
    <x v="0"/>
    <n v="15"/>
    <x v="2"/>
    <x v="0"/>
    <n v="30"/>
    <s v="Yes"/>
    <n v="20"/>
    <n v="20"/>
    <n v="45"/>
  </r>
  <r>
    <n v="3304"/>
    <x v="73"/>
    <x v="2"/>
    <d v="2024-05-09T00:00:00"/>
    <x v="1"/>
    <n v="10"/>
    <x v="2"/>
    <x v="1"/>
    <s v="-"/>
    <s v="Yes"/>
    <n v="20"/>
    <n v="12"/>
    <n v="18"/>
  </r>
  <r>
    <n v="3305"/>
    <x v="74"/>
    <x v="1"/>
    <d v="2024-05-10T00:00:00"/>
    <x v="0"/>
    <n v="5"/>
    <x v="0"/>
    <x v="1"/>
    <s v="-"/>
    <s v="No"/>
    <n v="0"/>
    <n v="2"/>
    <n v="3"/>
  </r>
  <r>
    <n v="3306"/>
    <x v="75"/>
    <x v="0"/>
    <d v="2024-05-11T00:00:00"/>
    <x v="1"/>
    <n v="15"/>
    <x v="1"/>
    <x v="0"/>
    <n v="30"/>
    <s v="Yes"/>
    <n v="20"/>
    <n v="5"/>
    <n v="60"/>
  </r>
  <r>
    <n v="3307"/>
    <x v="76"/>
    <x v="2"/>
    <d v="2024-05-12T00:00:00"/>
    <x v="0"/>
    <n v="10"/>
    <x v="0"/>
    <x v="1"/>
    <s v="-"/>
    <s v="Yes"/>
    <n v="20"/>
    <n v="10"/>
    <n v="20"/>
  </r>
  <r>
    <n v="3308"/>
    <x v="77"/>
    <x v="1"/>
    <d v="2024-05-13T00:00:00"/>
    <x v="1"/>
    <n v="5"/>
    <x v="2"/>
    <x v="1"/>
    <s v="-"/>
    <s v="No"/>
    <n v="0"/>
    <n v="0"/>
    <n v="5"/>
  </r>
  <r>
    <n v="3309"/>
    <x v="78"/>
    <x v="0"/>
    <d v="2024-05-14T00:00:00"/>
    <x v="0"/>
    <n v="15"/>
    <x v="0"/>
    <x v="0"/>
    <n v="30"/>
    <s v="Yes"/>
    <n v="20"/>
    <n v="3"/>
    <n v="62"/>
  </r>
  <r>
    <n v="3310"/>
    <x v="79"/>
    <x v="2"/>
    <d v="2024-05-15T00:00:00"/>
    <x v="1"/>
    <n v="10"/>
    <x v="1"/>
    <x v="1"/>
    <s v="-"/>
    <s v="Yes"/>
    <n v="20"/>
    <n v="15"/>
    <n v="15"/>
  </r>
  <r>
    <n v="3311"/>
    <x v="80"/>
    <x v="1"/>
    <d v="2024-05-16T00:00:00"/>
    <x v="0"/>
    <n v="5"/>
    <x v="0"/>
    <x v="1"/>
    <s v="-"/>
    <s v="No"/>
    <n v="0"/>
    <n v="1"/>
    <n v="4"/>
  </r>
  <r>
    <n v="3312"/>
    <x v="81"/>
    <x v="0"/>
    <d v="2024-05-17T00:00:00"/>
    <x v="1"/>
    <n v="15"/>
    <x v="2"/>
    <x v="0"/>
    <n v="30"/>
    <s v="Yes"/>
    <n v="20"/>
    <n v="7"/>
    <n v="58"/>
  </r>
  <r>
    <n v="3313"/>
    <x v="82"/>
    <x v="2"/>
    <d v="2024-05-18T00:00:00"/>
    <x v="0"/>
    <n v="10"/>
    <x v="0"/>
    <x v="1"/>
    <s v="-"/>
    <s v="Yes"/>
    <n v="20"/>
    <n v="10"/>
    <n v="20"/>
  </r>
  <r>
    <n v="3314"/>
    <x v="83"/>
    <x v="1"/>
    <d v="2024-05-19T00:00:00"/>
    <x v="1"/>
    <n v="5"/>
    <x v="1"/>
    <x v="1"/>
    <s v="-"/>
    <s v="No"/>
    <n v="0"/>
    <n v="0"/>
    <n v="5"/>
  </r>
  <r>
    <n v="3315"/>
    <x v="84"/>
    <x v="0"/>
    <d v="2024-05-20T00:00:00"/>
    <x v="0"/>
    <n v="15"/>
    <x v="0"/>
    <x v="0"/>
    <n v="30"/>
    <s v="Yes"/>
    <n v="20"/>
    <n v="20"/>
    <n v="45"/>
  </r>
  <r>
    <n v="3316"/>
    <x v="85"/>
    <x v="2"/>
    <d v="2024-05-21T00:00:00"/>
    <x v="1"/>
    <n v="10"/>
    <x v="2"/>
    <x v="1"/>
    <s v="-"/>
    <s v="Yes"/>
    <n v="20"/>
    <n v="15"/>
    <n v="15"/>
  </r>
  <r>
    <n v="3317"/>
    <x v="86"/>
    <x v="1"/>
    <d v="2024-05-22T00:00:00"/>
    <x v="0"/>
    <n v="5"/>
    <x v="0"/>
    <x v="1"/>
    <s v="-"/>
    <s v="No"/>
    <n v="0"/>
    <n v="1"/>
    <n v="4"/>
  </r>
  <r>
    <n v="3318"/>
    <x v="87"/>
    <x v="0"/>
    <d v="2024-05-23T00:00:00"/>
    <x v="1"/>
    <n v="15"/>
    <x v="1"/>
    <x v="0"/>
    <n v="30"/>
    <s v="Yes"/>
    <n v="20"/>
    <n v="3"/>
    <n v="62"/>
  </r>
  <r>
    <n v="3319"/>
    <x v="88"/>
    <x v="2"/>
    <d v="2024-05-24T00:00:00"/>
    <x v="0"/>
    <n v="10"/>
    <x v="0"/>
    <x v="1"/>
    <s v="-"/>
    <s v="Yes"/>
    <n v="20"/>
    <n v="10"/>
    <n v="20"/>
  </r>
  <r>
    <n v="3320"/>
    <x v="89"/>
    <x v="1"/>
    <d v="2024-05-25T00:00:00"/>
    <x v="1"/>
    <n v="5"/>
    <x v="2"/>
    <x v="1"/>
    <s v="-"/>
    <s v="No"/>
    <n v="0"/>
    <n v="0"/>
    <n v="5"/>
  </r>
  <r>
    <n v="3321"/>
    <x v="90"/>
    <x v="0"/>
    <d v="2024-05-26T00:00:00"/>
    <x v="0"/>
    <n v="15"/>
    <x v="0"/>
    <x v="0"/>
    <n v="30"/>
    <s v="Yes"/>
    <n v="20"/>
    <n v="5"/>
    <n v="60"/>
  </r>
  <r>
    <n v="3322"/>
    <x v="91"/>
    <x v="2"/>
    <d v="2024-05-27T00:00:00"/>
    <x v="1"/>
    <n v="10"/>
    <x v="1"/>
    <x v="1"/>
    <s v="-"/>
    <s v="Yes"/>
    <n v="20"/>
    <n v="15"/>
    <n v="15"/>
  </r>
  <r>
    <n v="3323"/>
    <x v="92"/>
    <x v="1"/>
    <d v="2024-05-28T00:00:00"/>
    <x v="0"/>
    <n v="5"/>
    <x v="0"/>
    <x v="1"/>
    <s v="-"/>
    <s v="No"/>
    <n v="0"/>
    <n v="1"/>
    <n v="4"/>
  </r>
  <r>
    <n v="3324"/>
    <x v="93"/>
    <x v="0"/>
    <d v="2024-05-29T00:00:00"/>
    <x v="1"/>
    <n v="15"/>
    <x v="2"/>
    <x v="0"/>
    <n v="30"/>
    <s v="Yes"/>
    <n v="20"/>
    <n v="20"/>
    <n v="45"/>
  </r>
  <r>
    <n v="3325"/>
    <x v="94"/>
    <x v="2"/>
    <d v="2024-05-30T00:00:00"/>
    <x v="0"/>
    <n v="10"/>
    <x v="2"/>
    <x v="1"/>
    <s v="-"/>
    <s v="Yes"/>
    <n v="20"/>
    <n v="15"/>
    <n v="15"/>
  </r>
  <r>
    <n v="3326"/>
    <x v="95"/>
    <x v="1"/>
    <d v="2024-05-31T00:00:00"/>
    <x v="1"/>
    <n v="5"/>
    <x v="1"/>
    <x v="1"/>
    <s v="-"/>
    <s v="No"/>
    <n v="0"/>
    <n v="0"/>
    <n v="5"/>
  </r>
  <r>
    <n v="3327"/>
    <x v="96"/>
    <x v="0"/>
    <d v="2024-06-01T00:00:00"/>
    <x v="0"/>
    <n v="15"/>
    <x v="0"/>
    <x v="0"/>
    <n v="30"/>
    <s v="Yes"/>
    <n v="20"/>
    <n v="7"/>
    <n v="58"/>
  </r>
  <r>
    <n v="3328"/>
    <x v="97"/>
    <x v="2"/>
    <d v="2024-06-02T00:00:00"/>
    <x v="1"/>
    <n v="10"/>
    <x v="1"/>
    <x v="1"/>
    <s v="-"/>
    <s v="Yes"/>
    <n v="20"/>
    <n v="10"/>
    <n v="20"/>
  </r>
  <r>
    <n v="3329"/>
    <x v="98"/>
    <x v="1"/>
    <d v="2024-06-03T00:00:00"/>
    <x v="0"/>
    <n v="5"/>
    <x v="2"/>
    <x v="1"/>
    <s v="-"/>
    <s v="No"/>
    <n v="0"/>
    <n v="1"/>
    <n v="4"/>
  </r>
  <r>
    <n v="3330"/>
    <x v="99"/>
    <x v="0"/>
    <d v="2024-06-04T00:00:00"/>
    <x v="1"/>
    <n v="15"/>
    <x v="0"/>
    <x v="0"/>
    <n v="30"/>
    <s v="Yes"/>
    <n v="20"/>
    <n v="15"/>
    <n v="50"/>
  </r>
  <r>
    <n v="3331"/>
    <x v="100"/>
    <x v="2"/>
    <d v="2024-06-05T00:00:00"/>
    <x v="0"/>
    <n v="10"/>
    <x v="0"/>
    <x v="1"/>
    <s v="-"/>
    <s v="Yes"/>
    <n v="20"/>
    <n v="5"/>
    <n v="25"/>
  </r>
  <r>
    <n v="3332"/>
    <x v="101"/>
    <x v="1"/>
    <d v="2024-06-06T00:00:00"/>
    <x v="1"/>
    <n v="5"/>
    <x v="1"/>
    <x v="1"/>
    <s v="-"/>
    <s v="No"/>
    <n v="0"/>
    <n v="0"/>
    <n v="5"/>
  </r>
  <r>
    <n v="3333"/>
    <x v="102"/>
    <x v="0"/>
    <d v="2024-06-07T00:00:00"/>
    <x v="0"/>
    <n v="15"/>
    <x v="2"/>
    <x v="0"/>
    <n v="30"/>
    <s v="Yes"/>
    <n v="20"/>
    <n v="20"/>
    <n v="45"/>
  </r>
  <r>
    <n v="3334"/>
    <x v="103"/>
    <x v="2"/>
    <d v="2024-06-08T00:00:00"/>
    <x v="1"/>
    <n v="10"/>
    <x v="2"/>
    <x v="1"/>
    <s v="-"/>
    <s v="Yes"/>
    <n v="20"/>
    <n v="12"/>
    <n v="18"/>
  </r>
  <r>
    <n v="3335"/>
    <x v="104"/>
    <x v="1"/>
    <d v="2024-06-09T00:00:00"/>
    <x v="0"/>
    <n v="5"/>
    <x v="0"/>
    <x v="1"/>
    <s v="-"/>
    <s v="No"/>
    <n v="0"/>
    <n v="2"/>
    <n v="3"/>
  </r>
  <r>
    <n v="3336"/>
    <x v="105"/>
    <x v="1"/>
    <d v="2024-06-10T00:00:00"/>
    <x v="0"/>
    <n v="5"/>
    <x v="0"/>
    <x v="1"/>
    <s v="-"/>
    <s v="No"/>
    <n v="0"/>
    <n v="0"/>
    <n v="5"/>
  </r>
  <r>
    <n v="3337"/>
    <x v="106"/>
    <x v="0"/>
    <d v="2024-06-11T00:00:00"/>
    <x v="1"/>
    <n v="15"/>
    <x v="2"/>
    <x v="0"/>
    <n v="30"/>
    <s v="Yes"/>
    <n v="20"/>
    <n v="7"/>
    <n v="58"/>
  </r>
  <r>
    <n v="3338"/>
    <x v="107"/>
    <x v="2"/>
    <d v="2024-06-12T00:00:00"/>
    <x v="0"/>
    <n v="10"/>
    <x v="1"/>
    <x v="1"/>
    <s v="-"/>
    <s v="Yes"/>
    <n v="20"/>
    <n v="10"/>
    <n v="20"/>
  </r>
  <r>
    <n v="3339"/>
    <x v="108"/>
    <x v="1"/>
    <d v="2024-06-13T00:00:00"/>
    <x v="1"/>
    <n v="5"/>
    <x v="2"/>
    <x v="1"/>
    <s v="-"/>
    <s v="No"/>
    <n v="0"/>
    <n v="1"/>
    <n v="4"/>
  </r>
  <r>
    <n v="3340"/>
    <x v="109"/>
    <x v="0"/>
    <d v="2024-06-14T00:00:00"/>
    <x v="0"/>
    <n v="15"/>
    <x v="0"/>
    <x v="0"/>
    <n v="30"/>
    <s v="Yes"/>
    <n v="20"/>
    <n v="15"/>
    <n v="50"/>
  </r>
  <r>
    <n v="3341"/>
    <x v="110"/>
    <x v="2"/>
    <d v="2024-06-15T00:00:00"/>
    <x v="1"/>
    <n v="10"/>
    <x v="0"/>
    <x v="1"/>
    <s v="-"/>
    <s v="Yes"/>
    <n v="20"/>
    <n v="5"/>
    <n v="25"/>
  </r>
  <r>
    <n v="3342"/>
    <x v="111"/>
    <x v="1"/>
    <d v="2024-06-16T00:00:00"/>
    <x v="0"/>
    <n v="5"/>
    <x v="1"/>
    <x v="1"/>
    <s v="-"/>
    <s v="No"/>
    <n v="0"/>
    <n v="0"/>
    <n v="5"/>
  </r>
  <r>
    <n v="3343"/>
    <x v="112"/>
    <x v="0"/>
    <d v="2024-06-17T00:00:00"/>
    <x v="1"/>
    <n v="15"/>
    <x v="2"/>
    <x v="0"/>
    <n v="30"/>
    <s v="Yes"/>
    <n v="20"/>
    <n v="20"/>
    <n v="45"/>
  </r>
  <r>
    <n v="3344"/>
    <x v="113"/>
    <x v="2"/>
    <d v="2024-06-18T00:00:00"/>
    <x v="0"/>
    <n v="10"/>
    <x v="2"/>
    <x v="1"/>
    <s v="-"/>
    <s v="Yes"/>
    <n v="20"/>
    <n v="12"/>
    <n v="18"/>
  </r>
  <r>
    <n v="3345"/>
    <x v="114"/>
    <x v="1"/>
    <d v="2024-06-19T00:00:00"/>
    <x v="1"/>
    <n v="5"/>
    <x v="0"/>
    <x v="1"/>
    <s v="-"/>
    <s v="No"/>
    <n v="0"/>
    <n v="2"/>
    <n v="3"/>
  </r>
  <r>
    <n v="3346"/>
    <x v="115"/>
    <x v="0"/>
    <d v="2024-06-20T00:00:00"/>
    <x v="0"/>
    <n v="15"/>
    <x v="1"/>
    <x v="0"/>
    <n v="30"/>
    <s v="Yes"/>
    <n v="20"/>
    <n v="5"/>
    <n v="60"/>
  </r>
  <r>
    <n v="3347"/>
    <x v="116"/>
    <x v="2"/>
    <d v="2024-06-21T00:00:00"/>
    <x v="1"/>
    <n v="10"/>
    <x v="0"/>
    <x v="1"/>
    <s v="-"/>
    <s v="Yes"/>
    <n v="20"/>
    <n v="10"/>
    <n v="20"/>
  </r>
  <r>
    <n v="3348"/>
    <x v="117"/>
    <x v="1"/>
    <d v="2024-06-22T00:00:00"/>
    <x v="0"/>
    <n v="5"/>
    <x v="2"/>
    <x v="1"/>
    <s v="-"/>
    <s v="No"/>
    <n v="0"/>
    <n v="0"/>
    <n v="5"/>
  </r>
  <r>
    <n v="3349"/>
    <x v="93"/>
    <x v="0"/>
    <d v="2024-06-23T00:00:00"/>
    <x v="1"/>
    <n v="15"/>
    <x v="0"/>
    <x v="0"/>
    <n v="30"/>
    <s v="Yes"/>
    <n v="20"/>
    <n v="3"/>
    <n v="62"/>
  </r>
  <r>
    <n v="3350"/>
    <x v="118"/>
    <x v="2"/>
    <d v="2024-06-24T00:00:00"/>
    <x v="0"/>
    <n v="10"/>
    <x v="1"/>
    <x v="1"/>
    <s v="-"/>
    <s v="Yes"/>
    <n v="20"/>
    <n v="15"/>
    <n v="15"/>
  </r>
  <r>
    <n v="3351"/>
    <x v="119"/>
    <x v="1"/>
    <d v="2024-06-25T00:00:00"/>
    <x v="1"/>
    <n v="5"/>
    <x v="0"/>
    <x v="1"/>
    <s v="-"/>
    <s v="No"/>
    <n v="0"/>
    <n v="1"/>
    <n v="4"/>
  </r>
  <r>
    <n v="3352"/>
    <x v="120"/>
    <x v="0"/>
    <d v="2024-06-26T00:00:00"/>
    <x v="0"/>
    <n v="15"/>
    <x v="2"/>
    <x v="0"/>
    <n v="30"/>
    <s v="Yes"/>
    <n v="20"/>
    <n v="7"/>
    <n v="58"/>
  </r>
  <r>
    <n v="3353"/>
    <x v="121"/>
    <x v="2"/>
    <d v="2024-06-27T00:00:00"/>
    <x v="1"/>
    <n v="10"/>
    <x v="0"/>
    <x v="1"/>
    <s v="-"/>
    <s v="Yes"/>
    <n v="20"/>
    <n v="10"/>
    <n v="20"/>
  </r>
  <r>
    <n v="3354"/>
    <x v="122"/>
    <x v="1"/>
    <d v="2024-06-28T00:00:00"/>
    <x v="0"/>
    <n v="5"/>
    <x v="1"/>
    <x v="1"/>
    <s v="-"/>
    <s v="No"/>
    <n v="0"/>
    <n v="0"/>
    <n v="5"/>
  </r>
  <r>
    <n v="3355"/>
    <x v="123"/>
    <x v="0"/>
    <d v="2024-06-29T00:00:00"/>
    <x v="1"/>
    <n v="15"/>
    <x v="0"/>
    <x v="0"/>
    <n v="30"/>
    <s v="Yes"/>
    <n v="20"/>
    <n v="20"/>
    <n v="45"/>
  </r>
  <r>
    <n v="3356"/>
    <x v="124"/>
    <x v="2"/>
    <d v="2024-06-30T00:00:00"/>
    <x v="0"/>
    <n v="10"/>
    <x v="2"/>
    <x v="1"/>
    <s v="-"/>
    <s v="Yes"/>
    <n v="20"/>
    <n v="15"/>
    <n v="15"/>
  </r>
  <r>
    <n v="3357"/>
    <x v="125"/>
    <x v="1"/>
    <d v="2024-07-01T00:00:00"/>
    <x v="1"/>
    <n v="5"/>
    <x v="0"/>
    <x v="1"/>
    <s v="-"/>
    <s v="No"/>
    <n v="0"/>
    <n v="1"/>
    <n v="4"/>
  </r>
  <r>
    <n v="3358"/>
    <x v="126"/>
    <x v="0"/>
    <d v="2024-07-02T00:00:00"/>
    <x v="0"/>
    <n v="15"/>
    <x v="1"/>
    <x v="0"/>
    <n v="30"/>
    <s v="Yes"/>
    <n v="20"/>
    <n v="3"/>
    <n v="62"/>
  </r>
  <r>
    <n v="3359"/>
    <x v="127"/>
    <x v="2"/>
    <d v="2024-07-03T00:00:00"/>
    <x v="1"/>
    <n v="10"/>
    <x v="0"/>
    <x v="1"/>
    <s v="-"/>
    <s v="Yes"/>
    <n v="20"/>
    <n v="10"/>
    <n v="20"/>
  </r>
  <r>
    <n v="3360"/>
    <x v="128"/>
    <x v="1"/>
    <d v="2024-07-04T00:00:00"/>
    <x v="0"/>
    <n v="5"/>
    <x v="2"/>
    <x v="1"/>
    <s v="-"/>
    <s v="No"/>
    <n v="0"/>
    <n v="0"/>
    <n v="5"/>
  </r>
  <r>
    <n v="3361"/>
    <x v="129"/>
    <x v="0"/>
    <d v="2024-07-05T00:00:00"/>
    <x v="1"/>
    <n v="15"/>
    <x v="0"/>
    <x v="0"/>
    <n v="30"/>
    <s v="Yes"/>
    <n v="20"/>
    <n v="15"/>
    <n v="50"/>
  </r>
  <r>
    <n v="3362"/>
    <x v="130"/>
    <x v="2"/>
    <d v="2024-07-06T00:00:00"/>
    <x v="0"/>
    <n v="10"/>
    <x v="1"/>
    <x v="1"/>
    <s v="-"/>
    <s v="Yes"/>
    <n v="20"/>
    <n v="15"/>
    <n v="15"/>
  </r>
  <r>
    <n v="3363"/>
    <x v="131"/>
    <x v="1"/>
    <d v="2024-07-07T00:00:00"/>
    <x v="1"/>
    <n v="5"/>
    <x v="0"/>
    <x v="1"/>
    <s v="-"/>
    <s v="No"/>
    <n v="0"/>
    <n v="1"/>
    <n v="4"/>
  </r>
  <r>
    <n v="3364"/>
    <x v="132"/>
    <x v="0"/>
    <d v="2024-07-08T00:00:00"/>
    <x v="0"/>
    <n v="15"/>
    <x v="2"/>
    <x v="0"/>
    <n v="30"/>
    <s v="Yes"/>
    <n v="20"/>
    <n v="7"/>
    <n v="58"/>
  </r>
  <r>
    <n v="3365"/>
    <x v="133"/>
    <x v="2"/>
    <d v="2024-07-09T00:00:00"/>
    <x v="1"/>
    <n v="10"/>
    <x v="0"/>
    <x v="1"/>
    <s v="-"/>
    <s v="Yes"/>
    <n v="20"/>
    <n v="10"/>
    <n v="20"/>
  </r>
  <r>
    <n v="3366"/>
    <x v="134"/>
    <x v="1"/>
    <d v="2024-07-10T00:00:00"/>
    <x v="0"/>
    <n v="5"/>
    <x v="0"/>
    <x v="1"/>
    <s v="-"/>
    <s v="No"/>
    <n v="0"/>
    <n v="0"/>
    <n v="5"/>
  </r>
  <r>
    <n v="3367"/>
    <x v="135"/>
    <x v="0"/>
    <d v="2024-07-11T00:00:00"/>
    <x v="1"/>
    <n v="15"/>
    <x v="2"/>
    <x v="0"/>
    <n v="30"/>
    <s v="Yes"/>
    <n v="20"/>
    <n v="7"/>
    <n v="58"/>
  </r>
  <r>
    <n v="3368"/>
    <x v="136"/>
    <x v="2"/>
    <d v="2024-07-12T00:00:00"/>
    <x v="0"/>
    <n v="10"/>
    <x v="1"/>
    <x v="1"/>
    <s v="-"/>
    <s v="Yes"/>
    <n v="20"/>
    <n v="10"/>
    <n v="20"/>
  </r>
  <r>
    <n v="3369"/>
    <x v="137"/>
    <x v="1"/>
    <d v="2024-07-13T00:00:00"/>
    <x v="1"/>
    <n v="5"/>
    <x v="2"/>
    <x v="1"/>
    <s v="-"/>
    <s v="No"/>
    <n v="0"/>
    <n v="1"/>
    <n v="4"/>
  </r>
  <r>
    <n v="3370"/>
    <x v="138"/>
    <x v="0"/>
    <d v="2024-07-14T00:00:00"/>
    <x v="0"/>
    <n v="15"/>
    <x v="0"/>
    <x v="0"/>
    <n v="30"/>
    <s v="Yes"/>
    <n v="20"/>
    <n v="15"/>
    <n v="50"/>
  </r>
  <r>
    <n v="3371"/>
    <x v="139"/>
    <x v="2"/>
    <d v="2024-07-15T00:00:00"/>
    <x v="1"/>
    <n v="10"/>
    <x v="0"/>
    <x v="1"/>
    <s v="-"/>
    <s v="Yes"/>
    <n v="20"/>
    <n v="5"/>
    <n v="25"/>
  </r>
  <r>
    <n v="3372"/>
    <x v="140"/>
    <x v="1"/>
    <d v="2024-07-16T00:00:00"/>
    <x v="0"/>
    <n v="5"/>
    <x v="1"/>
    <x v="1"/>
    <s v="-"/>
    <s v="No"/>
    <n v="0"/>
    <n v="0"/>
    <n v="5"/>
  </r>
  <r>
    <n v="3373"/>
    <x v="141"/>
    <x v="0"/>
    <d v="2024-07-17T00:00:00"/>
    <x v="1"/>
    <n v="15"/>
    <x v="2"/>
    <x v="0"/>
    <n v="30"/>
    <s v="Yes"/>
    <n v="20"/>
    <n v="20"/>
    <n v="45"/>
  </r>
  <r>
    <n v="3374"/>
    <x v="142"/>
    <x v="2"/>
    <d v="2024-07-18T00:00:00"/>
    <x v="0"/>
    <n v="10"/>
    <x v="2"/>
    <x v="1"/>
    <s v="-"/>
    <s v="Yes"/>
    <n v="20"/>
    <n v="12"/>
    <n v="18"/>
  </r>
  <r>
    <n v="3375"/>
    <x v="143"/>
    <x v="1"/>
    <d v="2024-07-19T00:00:00"/>
    <x v="1"/>
    <n v="5"/>
    <x v="0"/>
    <x v="1"/>
    <s v="-"/>
    <s v="No"/>
    <n v="0"/>
    <n v="2"/>
    <n v="3"/>
  </r>
  <r>
    <n v="3376"/>
    <x v="144"/>
    <x v="0"/>
    <d v="2024-07-20T00:00:00"/>
    <x v="0"/>
    <n v="15"/>
    <x v="1"/>
    <x v="0"/>
    <n v="30"/>
    <s v="Yes"/>
    <n v="20"/>
    <n v="5"/>
    <n v="60"/>
  </r>
  <r>
    <n v="3377"/>
    <x v="145"/>
    <x v="2"/>
    <d v="2024-07-21T00:00:00"/>
    <x v="1"/>
    <n v="10"/>
    <x v="0"/>
    <x v="1"/>
    <s v="-"/>
    <s v="Yes"/>
    <n v="20"/>
    <n v="10"/>
    <n v="20"/>
  </r>
  <r>
    <n v="3378"/>
    <x v="146"/>
    <x v="1"/>
    <d v="2024-07-22T00:00:00"/>
    <x v="0"/>
    <n v="5"/>
    <x v="2"/>
    <x v="1"/>
    <s v="-"/>
    <s v="No"/>
    <n v="0"/>
    <n v="0"/>
    <n v="5"/>
  </r>
  <r>
    <n v="3379"/>
    <x v="147"/>
    <x v="0"/>
    <d v="2024-07-23T00:00:00"/>
    <x v="1"/>
    <n v="15"/>
    <x v="0"/>
    <x v="0"/>
    <n v="30"/>
    <s v="Yes"/>
    <n v="20"/>
    <n v="3"/>
    <n v="62"/>
  </r>
  <r>
    <n v="3380"/>
    <x v="148"/>
    <x v="2"/>
    <d v="2024-07-24T00:00:00"/>
    <x v="0"/>
    <n v="10"/>
    <x v="1"/>
    <x v="1"/>
    <s v="-"/>
    <s v="Yes"/>
    <n v="20"/>
    <n v="15"/>
    <n v="15"/>
  </r>
  <r>
    <n v="3381"/>
    <x v="149"/>
    <x v="1"/>
    <d v="2024-07-25T00:00:00"/>
    <x v="1"/>
    <n v="5"/>
    <x v="0"/>
    <x v="1"/>
    <s v="-"/>
    <s v="No"/>
    <n v="0"/>
    <n v="1"/>
    <n v="4"/>
  </r>
  <r>
    <n v="3382"/>
    <x v="150"/>
    <x v="0"/>
    <d v="2024-07-26T00:00:00"/>
    <x v="0"/>
    <n v="15"/>
    <x v="2"/>
    <x v="0"/>
    <n v="30"/>
    <s v="Yes"/>
    <n v="20"/>
    <n v="7"/>
    <n v="58"/>
  </r>
  <r>
    <n v="3383"/>
    <x v="151"/>
    <x v="2"/>
    <d v="2024-07-27T00:00:00"/>
    <x v="1"/>
    <n v="10"/>
    <x v="0"/>
    <x v="1"/>
    <s v="-"/>
    <s v="Yes"/>
    <n v="20"/>
    <n v="10"/>
    <n v="20"/>
  </r>
  <r>
    <n v="3384"/>
    <x v="152"/>
    <x v="1"/>
    <d v="2024-07-28T00:00:00"/>
    <x v="0"/>
    <n v="5"/>
    <x v="1"/>
    <x v="1"/>
    <s v="-"/>
    <s v="No"/>
    <n v="0"/>
    <n v="0"/>
    <n v="5"/>
  </r>
  <r>
    <n v="3385"/>
    <x v="153"/>
    <x v="0"/>
    <d v="2024-07-29T00:00:00"/>
    <x v="1"/>
    <n v="15"/>
    <x v="0"/>
    <x v="0"/>
    <n v="30"/>
    <s v="Yes"/>
    <n v="20"/>
    <n v="20"/>
    <n v="45"/>
  </r>
  <r>
    <n v="3386"/>
    <x v="154"/>
    <x v="2"/>
    <d v="2024-07-30T00:00:00"/>
    <x v="0"/>
    <n v="10"/>
    <x v="2"/>
    <x v="1"/>
    <s v="-"/>
    <s v="Yes"/>
    <n v="20"/>
    <n v="15"/>
    <n v="15"/>
  </r>
  <r>
    <n v="3387"/>
    <x v="155"/>
    <x v="1"/>
    <d v="2024-07-31T00:00:00"/>
    <x v="1"/>
    <n v="5"/>
    <x v="0"/>
    <x v="1"/>
    <s v="-"/>
    <s v="No"/>
    <n v="0"/>
    <n v="1"/>
    <n v="4"/>
  </r>
  <r>
    <n v="3388"/>
    <x v="156"/>
    <x v="0"/>
    <d v="2024-08-01T00:00:00"/>
    <x v="0"/>
    <n v="15"/>
    <x v="1"/>
    <x v="0"/>
    <n v="30"/>
    <s v="Yes"/>
    <n v="20"/>
    <n v="3"/>
    <n v="62"/>
  </r>
  <r>
    <n v="3389"/>
    <x v="157"/>
    <x v="2"/>
    <d v="2024-08-02T00:00:00"/>
    <x v="1"/>
    <n v="10"/>
    <x v="0"/>
    <x v="1"/>
    <s v="-"/>
    <s v="Yes"/>
    <n v="20"/>
    <n v="10"/>
    <n v="20"/>
  </r>
  <r>
    <n v="3390"/>
    <x v="158"/>
    <x v="1"/>
    <d v="2024-08-03T00:00:00"/>
    <x v="0"/>
    <n v="5"/>
    <x v="2"/>
    <x v="1"/>
    <s v="-"/>
    <s v="No"/>
    <n v="0"/>
    <n v="0"/>
    <n v="5"/>
  </r>
  <r>
    <n v="3391"/>
    <x v="58"/>
    <x v="0"/>
    <d v="2024-08-04T00:00:00"/>
    <x v="1"/>
    <n v="15"/>
    <x v="0"/>
    <x v="0"/>
    <n v="30"/>
    <s v="Yes"/>
    <n v="20"/>
    <n v="15"/>
    <n v="50"/>
  </r>
  <r>
    <n v="3392"/>
    <x v="159"/>
    <x v="2"/>
    <d v="2024-08-05T00:00:00"/>
    <x v="0"/>
    <n v="10"/>
    <x v="1"/>
    <x v="1"/>
    <s v="-"/>
    <s v="Yes"/>
    <n v="20"/>
    <n v="15"/>
    <n v="15"/>
  </r>
  <r>
    <n v="3393"/>
    <x v="160"/>
    <x v="1"/>
    <d v="2024-08-06T00:00:00"/>
    <x v="1"/>
    <n v="5"/>
    <x v="0"/>
    <x v="1"/>
    <s v="-"/>
    <s v="No"/>
    <n v="0"/>
    <n v="1"/>
    <n v="4"/>
  </r>
  <r>
    <n v="3394"/>
    <x v="161"/>
    <x v="0"/>
    <d v="2024-08-07T00:00:00"/>
    <x v="0"/>
    <n v="15"/>
    <x v="2"/>
    <x v="0"/>
    <n v="30"/>
    <s v="Yes"/>
    <n v="20"/>
    <n v="7"/>
    <n v="58"/>
  </r>
  <r>
    <n v="3395"/>
    <x v="162"/>
    <x v="2"/>
    <d v="2024-08-08T00:00:00"/>
    <x v="1"/>
    <n v="10"/>
    <x v="0"/>
    <x v="1"/>
    <s v="-"/>
    <s v="Yes"/>
    <n v="20"/>
    <n v="10"/>
    <n v="20"/>
  </r>
  <r>
    <n v="3396"/>
    <x v="163"/>
    <x v="1"/>
    <d v="2024-08-09T00:00:00"/>
    <x v="0"/>
    <n v="5"/>
    <x v="1"/>
    <x v="1"/>
    <s v="-"/>
    <s v="No"/>
    <n v="0"/>
    <n v="0"/>
    <n v="5"/>
  </r>
  <r>
    <n v="3397"/>
    <x v="90"/>
    <x v="0"/>
    <d v="2024-08-10T00:00:00"/>
    <x v="1"/>
    <n v="15"/>
    <x v="0"/>
    <x v="0"/>
    <n v="30"/>
    <s v="Yes"/>
    <n v="20"/>
    <n v="20"/>
    <n v="45"/>
  </r>
  <r>
    <n v="3398"/>
    <x v="164"/>
    <x v="2"/>
    <d v="2024-08-11T00:00:00"/>
    <x v="0"/>
    <n v="10"/>
    <x v="2"/>
    <x v="1"/>
    <s v="-"/>
    <s v="Yes"/>
    <n v="20"/>
    <n v="15"/>
    <n v="15"/>
  </r>
  <r>
    <n v="3399"/>
    <x v="165"/>
    <x v="1"/>
    <d v="2024-08-12T00:00:00"/>
    <x v="1"/>
    <n v="5"/>
    <x v="0"/>
    <x v="1"/>
    <s v="-"/>
    <s v="No"/>
    <n v="0"/>
    <n v="1"/>
    <n v="4"/>
  </r>
  <r>
    <n v="3400"/>
    <x v="166"/>
    <x v="0"/>
    <d v="2024-08-13T00:00:00"/>
    <x v="0"/>
    <n v="15"/>
    <x v="1"/>
    <x v="0"/>
    <n v="30"/>
    <s v="Yes"/>
    <n v="20"/>
    <n v="5"/>
    <n v="60"/>
  </r>
  <r>
    <n v="3401"/>
    <x v="167"/>
    <x v="2"/>
    <d v="2024-08-14T00:00:00"/>
    <x v="1"/>
    <n v="10"/>
    <x v="0"/>
    <x v="1"/>
    <s v="-"/>
    <s v="Yes"/>
    <n v="20"/>
    <n v="10"/>
    <n v="20"/>
  </r>
  <r>
    <n v="3402"/>
    <x v="168"/>
    <x v="1"/>
    <d v="2024-08-15T00:00:00"/>
    <x v="0"/>
    <n v="5"/>
    <x v="2"/>
    <x v="1"/>
    <s v="-"/>
    <s v="No"/>
    <n v="0"/>
    <n v="0"/>
    <n v="5"/>
  </r>
  <r>
    <n v="3403"/>
    <x v="169"/>
    <x v="0"/>
    <d v="2024-08-16T00:00:00"/>
    <x v="1"/>
    <n v="15"/>
    <x v="0"/>
    <x v="0"/>
    <n v="30"/>
    <s v="Yes"/>
    <n v="20"/>
    <n v="3"/>
    <n v="62"/>
  </r>
  <r>
    <n v="3404"/>
    <x v="170"/>
    <x v="2"/>
    <d v="2024-08-17T00:00:00"/>
    <x v="0"/>
    <n v="10"/>
    <x v="1"/>
    <x v="1"/>
    <s v="-"/>
    <s v="Yes"/>
    <n v="20"/>
    <n v="15"/>
    <n v="15"/>
  </r>
  <r>
    <n v="3405"/>
    <x v="171"/>
    <x v="1"/>
    <d v="2024-08-18T00:00:00"/>
    <x v="1"/>
    <n v="5"/>
    <x v="0"/>
    <x v="1"/>
    <s v="-"/>
    <s v="No"/>
    <n v="0"/>
    <n v="1"/>
    <n v="4"/>
  </r>
  <r>
    <n v="3406"/>
    <x v="172"/>
    <x v="1"/>
    <d v="2024-08-19T00:00:00"/>
    <x v="0"/>
    <n v="5"/>
    <x v="0"/>
    <x v="1"/>
    <s v="-"/>
    <s v="No"/>
    <n v="0"/>
    <n v="0"/>
    <n v="5"/>
  </r>
  <r>
    <n v="3407"/>
    <x v="173"/>
    <x v="0"/>
    <d v="2024-08-20T00:00:00"/>
    <x v="1"/>
    <n v="15"/>
    <x v="2"/>
    <x v="0"/>
    <n v="30"/>
    <s v="Yes"/>
    <n v="20"/>
    <n v="7"/>
    <n v="58"/>
  </r>
  <r>
    <n v="3408"/>
    <x v="174"/>
    <x v="2"/>
    <d v="2024-08-21T00:00:00"/>
    <x v="0"/>
    <n v="10"/>
    <x v="1"/>
    <x v="1"/>
    <s v="-"/>
    <s v="Yes"/>
    <n v="20"/>
    <n v="10"/>
    <n v="20"/>
  </r>
  <r>
    <n v="3409"/>
    <x v="175"/>
    <x v="1"/>
    <d v="2024-08-22T00:00:00"/>
    <x v="1"/>
    <n v="5"/>
    <x v="2"/>
    <x v="1"/>
    <s v="-"/>
    <s v="No"/>
    <n v="0"/>
    <n v="1"/>
    <n v="4"/>
  </r>
  <r>
    <n v="3410"/>
    <x v="176"/>
    <x v="0"/>
    <d v="2024-08-23T00:00:00"/>
    <x v="0"/>
    <n v="15"/>
    <x v="0"/>
    <x v="0"/>
    <n v="30"/>
    <s v="Yes"/>
    <n v="20"/>
    <n v="15"/>
    <n v="50"/>
  </r>
  <r>
    <n v="3411"/>
    <x v="177"/>
    <x v="2"/>
    <d v="2024-08-24T00:00:00"/>
    <x v="1"/>
    <n v="10"/>
    <x v="0"/>
    <x v="1"/>
    <s v="-"/>
    <s v="Yes"/>
    <n v="20"/>
    <n v="5"/>
    <n v="25"/>
  </r>
  <r>
    <n v="3412"/>
    <x v="178"/>
    <x v="1"/>
    <d v="2024-08-25T00:00:00"/>
    <x v="0"/>
    <n v="5"/>
    <x v="1"/>
    <x v="1"/>
    <s v="-"/>
    <s v="No"/>
    <n v="0"/>
    <n v="0"/>
    <n v="5"/>
  </r>
  <r>
    <n v="3413"/>
    <x v="179"/>
    <x v="0"/>
    <d v="2024-08-26T00:00:00"/>
    <x v="1"/>
    <n v="15"/>
    <x v="2"/>
    <x v="0"/>
    <n v="30"/>
    <s v="Yes"/>
    <n v="20"/>
    <n v="20"/>
    <n v="45"/>
  </r>
  <r>
    <n v="3414"/>
    <x v="180"/>
    <x v="2"/>
    <d v="2024-08-27T00:00:00"/>
    <x v="0"/>
    <n v="10"/>
    <x v="2"/>
    <x v="1"/>
    <s v="-"/>
    <s v="Yes"/>
    <n v="20"/>
    <n v="12"/>
    <n v="18"/>
  </r>
  <r>
    <n v="3415"/>
    <x v="181"/>
    <x v="1"/>
    <d v="2024-08-28T00:00:00"/>
    <x v="1"/>
    <n v="5"/>
    <x v="0"/>
    <x v="1"/>
    <s v="-"/>
    <s v="No"/>
    <n v="0"/>
    <n v="2"/>
    <n v="3"/>
  </r>
  <r>
    <n v="3416"/>
    <x v="182"/>
    <x v="0"/>
    <d v="2024-08-29T00:00:00"/>
    <x v="0"/>
    <n v="15"/>
    <x v="1"/>
    <x v="0"/>
    <n v="30"/>
    <s v="Yes"/>
    <n v="20"/>
    <n v="5"/>
    <n v="60"/>
  </r>
  <r>
    <n v="3417"/>
    <x v="183"/>
    <x v="2"/>
    <d v="2024-08-30T00:00:00"/>
    <x v="1"/>
    <n v="10"/>
    <x v="0"/>
    <x v="1"/>
    <s v="-"/>
    <s v="Yes"/>
    <n v="20"/>
    <n v="10"/>
    <n v="20"/>
  </r>
  <r>
    <n v="3418"/>
    <x v="184"/>
    <x v="1"/>
    <d v="2024-08-31T00:00:00"/>
    <x v="0"/>
    <n v="5"/>
    <x v="2"/>
    <x v="1"/>
    <s v="-"/>
    <s v="No"/>
    <n v="0"/>
    <n v="0"/>
    <n v="5"/>
  </r>
  <r>
    <n v="3419"/>
    <x v="185"/>
    <x v="0"/>
    <d v="2024-09-01T00:00:00"/>
    <x v="1"/>
    <n v="15"/>
    <x v="0"/>
    <x v="0"/>
    <n v="30"/>
    <s v="Yes"/>
    <n v="20"/>
    <n v="3"/>
    <n v="62"/>
  </r>
  <r>
    <n v="3420"/>
    <x v="186"/>
    <x v="2"/>
    <d v="2024-09-02T00:00:00"/>
    <x v="0"/>
    <n v="10"/>
    <x v="1"/>
    <x v="1"/>
    <s v="-"/>
    <s v="Yes"/>
    <n v="20"/>
    <n v="15"/>
    <n v="15"/>
  </r>
  <r>
    <n v="3421"/>
    <x v="15"/>
    <x v="1"/>
    <d v="2024-09-03T00:00:00"/>
    <x v="1"/>
    <n v="5"/>
    <x v="0"/>
    <x v="1"/>
    <s v="-"/>
    <s v="No"/>
    <n v="0"/>
    <n v="1"/>
    <n v="4"/>
  </r>
  <r>
    <n v="3422"/>
    <x v="187"/>
    <x v="0"/>
    <d v="2024-09-04T00:00:00"/>
    <x v="0"/>
    <n v="15"/>
    <x v="2"/>
    <x v="0"/>
    <n v="30"/>
    <s v="Yes"/>
    <n v="20"/>
    <n v="7"/>
    <n v="58"/>
  </r>
  <r>
    <n v="3423"/>
    <x v="188"/>
    <x v="2"/>
    <d v="2024-09-05T00:00:00"/>
    <x v="1"/>
    <n v="10"/>
    <x v="0"/>
    <x v="1"/>
    <s v="-"/>
    <s v="Yes"/>
    <n v="20"/>
    <n v="10"/>
    <n v="20"/>
  </r>
  <r>
    <n v="3424"/>
    <x v="14"/>
    <x v="1"/>
    <d v="2024-09-06T00:00:00"/>
    <x v="0"/>
    <n v="5"/>
    <x v="1"/>
    <x v="1"/>
    <s v="-"/>
    <s v="No"/>
    <n v="0"/>
    <n v="0"/>
    <n v="5"/>
  </r>
  <r>
    <n v="3425"/>
    <x v="189"/>
    <x v="0"/>
    <d v="2024-09-07T00:00:00"/>
    <x v="1"/>
    <n v="15"/>
    <x v="0"/>
    <x v="0"/>
    <n v="30"/>
    <s v="Yes"/>
    <n v="20"/>
    <n v="20"/>
    <n v="45"/>
  </r>
  <r>
    <n v="3426"/>
    <x v="167"/>
    <x v="2"/>
    <d v="2024-09-08T00:00:00"/>
    <x v="0"/>
    <n v="10"/>
    <x v="2"/>
    <x v="1"/>
    <s v="-"/>
    <s v="Yes"/>
    <n v="20"/>
    <n v="15"/>
    <n v="15"/>
  </r>
  <r>
    <n v="3427"/>
    <x v="190"/>
    <x v="1"/>
    <d v="2024-09-09T00:00:00"/>
    <x v="1"/>
    <n v="5"/>
    <x v="0"/>
    <x v="1"/>
    <s v="-"/>
    <s v="No"/>
    <n v="0"/>
    <n v="1"/>
    <n v="4"/>
  </r>
  <r>
    <n v="3428"/>
    <x v="191"/>
    <x v="0"/>
    <d v="2024-09-10T00:00:00"/>
    <x v="0"/>
    <n v="15"/>
    <x v="1"/>
    <x v="0"/>
    <n v="30"/>
    <s v="Yes"/>
    <n v="20"/>
    <n v="3"/>
    <n v="62"/>
  </r>
  <r>
    <n v="3429"/>
    <x v="192"/>
    <x v="2"/>
    <d v="2024-09-11T00:00:00"/>
    <x v="1"/>
    <n v="10"/>
    <x v="0"/>
    <x v="1"/>
    <s v="-"/>
    <s v="Yes"/>
    <n v="20"/>
    <n v="10"/>
    <n v="20"/>
  </r>
  <r>
    <n v="3430"/>
    <x v="193"/>
    <x v="1"/>
    <d v="2024-09-12T00:00:00"/>
    <x v="0"/>
    <n v="5"/>
    <x v="2"/>
    <x v="1"/>
    <s v="-"/>
    <s v="No"/>
    <n v="0"/>
    <n v="0"/>
    <n v="5"/>
  </r>
  <r>
    <n v="3431"/>
    <x v="194"/>
    <x v="0"/>
    <d v="2024-09-13T00:00:00"/>
    <x v="1"/>
    <n v="15"/>
    <x v="0"/>
    <x v="0"/>
    <n v="30"/>
    <s v="Yes"/>
    <n v="20"/>
    <n v="15"/>
    <n v="50"/>
  </r>
  <r>
    <n v="3432"/>
    <x v="195"/>
    <x v="2"/>
    <d v="2024-09-14T00:00:00"/>
    <x v="0"/>
    <n v="10"/>
    <x v="1"/>
    <x v="1"/>
    <s v="-"/>
    <s v="Yes"/>
    <n v="20"/>
    <n v="15"/>
    <n v="15"/>
  </r>
  <r>
    <n v="3433"/>
    <x v="196"/>
    <x v="1"/>
    <d v="2024-09-15T00:00:00"/>
    <x v="1"/>
    <n v="5"/>
    <x v="0"/>
    <x v="1"/>
    <s v="-"/>
    <s v="No"/>
    <n v="0"/>
    <n v="1"/>
    <n v="4"/>
  </r>
  <r>
    <n v="3434"/>
    <x v="197"/>
    <x v="0"/>
    <d v="2024-09-16T00:00:00"/>
    <x v="0"/>
    <n v="15"/>
    <x v="2"/>
    <x v="0"/>
    <n v="30"/>
    <s v="Yes"/>
    <n v="20"/>
    <n v="7"/>
    <n v="58"/>
  </r>
  <r>
    <n v="3435"/>
    <x v="198"/>
    <x v="2"/>
    <d v="2024-09-17T00:00:00"/>
    <x v="1"/>
    <n v="10"/>
    <x v="0"/>
    <x v="1"/>
    <s v="-"/>
    <s v="Yes"/>
    <n v="20"/>
    <n v="10"/>
    <n v="20"/>
  </r>
  <r>
    <n v="3436"/>
    <x v="199"/>
    <x v="1"/>
    <d v="2024-09-18T00:00:00"/>
    <x v="0"/>
    <n v="5"/>
    <x v="0"/>
    <x v="1"/>
    <s v="-"/>
    <s v="No"/>
    <n v="0"/>
    <n v="0"/>
    <n v="5"/>
  </r>
  <r>
    <n v="3437"/>
    <x v="200"/>
    <x v="0"/>
    <d v="2024-09-19T00:00:00"/>
    <x v="1"/>
    <n v="15"/>
    <x v="2"/>
    <x v="0"/>
    <n v="30"/>
    <s v="Yes"/>
    <n v="20"/>
    <n v="7"/>
    <n v="58"/>
  </r>
  <r>
    <n v="3438"/>
    <x v="201"/>
    <x v="2"/>
    <d v="2024-09-20T00:00:00"/>
    <x v="0"/>
    <n v="10"/>
    <x v="1"/>
    <x v="1"/>
    <s v="-"/>
    <s v="Yes"/>
    <n v="20"/>
    <n v="10"/>
    <n v="20"/>
  </r>
  <r>
    <n v="3439"/>
    <x v="202"/>
    <x v="1"/>
    <d v="2024-09-21T00:00:00"/>
    <x v="1"/>
    <n v="5"/>
    <x v="2"/>
    <x v="1"/>
    <s v="-"/>
    <s v="No"/>
    <n v="0"/>
    <n v="1"/>
    <n v="4"/>
  </r>
  <r>
    <n v="3440"/>
    <x v="203"/>
    <x v="0"/>
    <d v="2024-09-22T00:00:00"/>
    <x v="0"/>
    <n v="15"/>
    <x v="0"/>
    <x v="0"/>
    <n v="30"/>
    <s v="Yes"/>
    <n v="20"/>
    <n v="15"/>
    <n v="50"/>
  </r>
  <r>
    <n v="3441"/>
    <x v="204"/>
    <x v="2"/>
    <d v="2024-09-23T00:00:00"/>
    <x v="1"/>
    <n v="10"/>
    <x v="0"/>
    <x v="1"/>
    <s v="-"/>
    <s v="Yes"/>
    <n v="20"/>
    <n v="5"/>
    <n v="25"/>
  </r>
  <r>
    <n v="3442"/>
    <x v="205"/>
    <x v="1"/>
    <d v="2024-09-24T00:00:00"/>
    <x v="0"/>
    <n v="5"/>
    <x v="1"/>
    <x v="1"/>
    <s v="-"/>
    <s v="No"/>
    <n v="0"/>
    <n v="0"/>
    <n v="5"/>
  </r>
  <r>
    <n v="3443"/>
    <x v="206"/>
    <x v="0"/>
    <d v="2024-09-25T00:00:00"/>
    <x v="1"/>
    <n v="15"/>
    <x v="2"/>
    <x v="0"/>
    <n v="30"/>
    <s v="Yes"/>
    <n v="20"/>
    <n v="20"/>
    <n v="45"/>
  </r>
  <r>
    <n v="3444"/>
    <x v="207"/>
    <x v="2"/>
    <d v="2024-09-26T00:00:00"/>
    <x v="0"/>
    <n v="10"/>
    <x v="2"/>
    <x v="1"/>
    <s v="-"/>
    <s v="Yes"/>
    <n v="20"/>
    <n v="12"/>
    <n v="18"/>
  </r>
  <r>
    <n v="3445"/>
    <x v="37"/>
    <x v="1"/>
    <d v="2024-09-27T00:00:00"/>
    <x v="1"/>
    <n v="5"/>
    <x v="0"/>
    <x v="1"/>
    <s v="-"/>
    <s v="No"/>
    <n v="0"/>
    <n v="2"/>
    <n v="3"/>
  </r>
  <r>
    <n v="3446"/>
    <x v="208"/>
    <x v="0"/>
    <d v="2024-09-28T00:00:00"/>
    <x v="0"/>
    <n v="15"/>
    <x v="1"/>
    <x v="0"/>
    <n v="30"/>
    <s v="Yes"/>
    <n v="20"/>
    <n v="5"/>
    <n v="60"/>
  </r>
  <r>
    <n v="3447"/>
    <x v="209"/>
    <x v="2"/>
    <d v="2024-09-29T00:00:00"/>
    <x v="1"/>
    <n v="10"/>
    <x v="0"/>
    <x v="1"/>
    <s v="-"/>
    <s v="Yes"/>
    <n v="20"/>
    <n v="10"/>
    <n v="20"/>
  </r>
  <r>
    <n v="3448"/>
    <x v="210"/>
    <x v="1"/>
    <d v="2024-09-30T00:00:00"/>
    <x v="0"/>
    <n v="5"/>
    <x v="2"/>
    <x v="1"/>
    <s v="-"/>
    <s v="No"/>
    <n v="0"/>
    <n v="0"/>
    <n v="5"/>
  </r>
  <r>
    <n v="3449"/>
    <x v="211"/>
    <x v="0"/>
    <d v="2024-10-01T00:00:00"/>
    <x v="1"/>
    <n v="15"/>
    <x v="0"/>
    <x v="0"/>
    <n v="30"/>
    <s v="Yes"/>
    <n v="20"/>
    <n v="3"/>
    <n v="62"/>
  </r>
  <r>
    <n v="3450"/>
    <x v="212"/>
    <x v="2"/>
    <d v="2024-10-02T00:00:00"/>
    <x v="0"/>
    <n v="10"/>
    <x v="1"/>
    <x v="1"/>
    <s v="-"/>
    <s v="Yes"/>
    <n v="20"/>
    <n v="15"/>
    <n v="15"/>
  </r>
  <r>
    <n v="3451"/>
    <x v="213"/>
    <x v="1"/>
    <d v="2024-10-03T00:00:00"/>
    <x v="1"/>
    <n v="5"/>
    <x v="0"/>
    <x v="1"/>
    <s v="-"/>
    <s v="No"/>
    <n v="0"/>
    <n v="1"/>
    <n v="4"/>
  </r>
  <r>
    <n v="3452"/>
    <x v="191"/>
    <x v="0"/>
    <d v="2024-10-04T00:00:00"/>
    <x v="0"/>
    <n v="15"/>
    <x v="2"/>
    <x v="0"/>
    <n v="30"/>
    <s v="Yes"/>
    <n v="20"/>
    <n v="7"/>
    <n v="58"/>
  </r>
  <r>
    <n v="3453"/>
    <x v="45"/>
    <x v="2"/>
    <d v="2024-10-05T00:00:00"/>
    <x v="1"/>
    <n v="10"/>
    <x v="0"/>
    <x v="1"/>
    <s v="-"/>
    <s v="Yes"/>
    <n v="20"/>
    <n v="10"/>
    <n v="20"/>
  </r>
  <r>
    <n v="3454"/>
    <x v="214"/>
    <x v="1"/>
    <d v="2024-10-06T00:00:00"/>
    <x v="0"/>
    <n v="5"/>
    <x v="1"/>
    <x v="1"/>
    <s v="-"/>
    <s v="No"/>
    <n v="0"/>
    <n v="0"/>
    <n v="5"/>
  </r>
  <r>
    <n v="3455"/>
    <x v="215"/>
    <x v="0"/>
    <d v="2024-10-07T00:00:00"/>
    <x v="1"/>
    <n v="15"/>
    <x v="0"/>
    <x v="0"/>
    <n v="30"/>
    <s v="Yes"/>
    <n v="20"/>
    <n v="20"/>
    <n v="45"/>
  </r>
  <r>
    <n v="3456"/>
    <x v="216"/>
    <x v="2"/>
    <d v="2024-10-08T00:00:00"/>
    <x v="0"/>
    <n v="10"/>
    <x v="2"/>
    <x v="1"/>
    <s v="-"/>
    <s v="Yes"/>
    <n v="20"/>
    <n v="15"/>
    <n v="15"/>
  </r>
  <r>
    <n v="3457"/>
    <x v="217"/>
    <x v="1"/>
    <d v="2024-10-09T00:00:00"/>
    <x v="1"/>
    <n v="5"/>
    <x v="0"/>
    <x v="1"/>
    <s v="-"/>
    <s v="No"/>
    <n v="0"/>
    <n v="1"/>
    <n v="4"/>
  </r>
  <r>
    <n v="3458"/>
    <x v="218"/>
    <x v="0"/>
    <d v="2024-10-10T00:00:00"/>
    <x v="0"/>
    <n v="15"/>
    <x v="1"/>
    <x v="0"/>
    <n v="30"/>
    <s v="Yes"/>
    <n v="20"/>
    <n v="3"/>
    <n v="62"/>
  </r>
  <r>
    <n v="3459"/>
    <x v="219"/>
    <x v="2"/>
    <d v="2024-10-11T00:00:00"/>
    <x v="1"/>
    <n v="10"/>
    <x v="0"/>
    <x v="1"/>
    <s v="-"/>
    <s v="Yes"/>
    <n v="20"/>
    <n v="10"/>
    <n v="20"/>
  </r>
  <r>
    <n v="3460"/>
    <x v="127"/>
    <x v="1"/>
    <d v="2024-10-12T00:00:00"/>
    <x v="0"/>
    <n v="5"/>
    <x v="2"/>
    <x v="1"/>
    <s v="-"/>
    <s v="No"/>
    <n v="0"/>
    <n v="0"/>
    <n v="5"/>
  </r>
  <r>
    <n v="3461"/>
    <x v="220"/>
    <x v="0"/>
    <d v="2024-10-13T00:00:00"/>
    <x v="1"/>
    <n v="15"/>
    <x v="0"/>
    <x v="0"/>
    <n v="30"/>
    <s v="Yes"/>
    <n v="20"/>
    <n v="15"/>
    <n v="50"/>
  </r>
  <r>
    <n v="3462"/>
    <x v="221"/>
    <x v="2"/>
    <d v="2024-10-14T00:00:00"/>
    <x v="0"/>
    <n v="10"/>
    <x v="1"/>
    <x v="1"/>
    <s v="-"/>
    <s v="Yes"/>
    <n v="20"/>
    <n v="15"/>
    <n v="15"/>
  </r>
  <r>
    <n v="3463"/>
    <x v="222"/>
    <x v="1"/>
    <d v="2024-10-15T00:00:00"/>
    <x v="1"/>
    <n v="5"/>
    <x v="0"/>
    <x v="1"/>
    <s v="-"/>
    <s v="No"/>
    <n v="0"/>
    <n v="1"/>
    <n v="4"/>
  </r>
  <r>
    <n v="3464"/>
    <x v="223"/>
    <x v="0"/>
    <d v="2024-10-16T00:00:00"/>
    <x v="0"/>
    <n v="15"/>
    <x v="2"/>
    <x v="0"/>
    <n v="30"/>
    <s v="Yes"/>
    <n v="20"/>
    <n v="7"/>
    <n v="58"/>
  </r>
  <r>
    <n v="3465"/>
    <x v="224"/>
    <x v="2"/>
    <d v="2024-10-17T00:00:00"/>
    <x v="1"/>
    <n v="10"/>
    <x v="0"/>
    <x v="1"/>
    <s v="-"/>
    <s v="Yes"/>
    <n v="20"/>
    <n v="10"/>
    <n v="20"/>
  </r>
  <r>
    <n v="3466"/>
    <x v="225"/>
    <x v="1"/>
    <d v="2024-10-18T00:00:00"/>
    <x v="0"/>
    <n v="5"/>
    <x v="1"/>
    <x v="1"/>
    <s v="-"/>
    <s v="No"/>
    <n v="0"/>
    <n v="0"/>
    <n v="5"/>
  </r>
  <r>
    <n v="3467"/>
    <x v="226"/>
    <x v="0"/>
    <d v="2024-10-19T00:00:00"/>
    <x v="1"/>
    <n v="15"/>
    <x v="0"/>
    <x v="0"/>
    <n v="30"/>
    <s v="Yes"/>
    <n v="20"/>
    <n v="15"/>
    <n v="50"/>
  </r>
  <r>
    <n v="3468"/>
    <x v="227"/>
    <x v="2"/>
    <d v="2024-10-20T00:00:00"/>
    <x v="0"/>
    <n v="10"/>
    <x v="2"/>
    <x v="1"/>
    <s v="-"/>
    <s v="Yes"/>
    <n v="20"/>
    <n v="12"/>
    <n v="18"/>
  </r>
  <r>
    <n v="3469"/>
    <x v="228"/>
    <x v="1"/>
    <d v="2024-10-21T00:00:00"/>
    <x v="1"/>
    <n v="5"/>
    <x v="0"/>
    <x v="1"/>
    <s v="-"/>
    <s v="No"/>
    <n v="0"/>
    <n v="2"/>
    <n v="3"/>
  </r>
  <r>
    <n v="3470"/>
    <x v="229"/>
    <x v="0"/>
    <d v="2024-10-22T00:00:00"/>
    <x v="0"/>
    <n v="15"/>
    <x v="1"/>
    <x v="0"/>
    <n v="30"/>
    <s v="Yes"/>
    <n v="20"/>
    <n v="5"/>
    <n v="60"/>
  </r>
  <r>
    <n v="3471"/>
    <x v="230"/>
    <x v="2"/>
    <d v="2024-10-23T00:00:00"/>
    <x v="1"/>
    <n v="10"/>
    <x v="0"/>
    <x v="1"/>
    <s v="-"/>
    <s v="Yes"/>
    <n v="20"/>
    <n v="10"/>
    <n v="20"/>
  </r>
  <r>
    <n v="3472"/>
    <x v="231"/>
    <x v="1"/>
    <d v="2024-10-24T00:00:00"/>
    <x v="0"/>
    <n v="5"/>
    <x v="2"/>
    <x v="1"/>
    <s v="-"/>
    <s v="No"/>
    <n v="0"/>
    <n v="0"/>
    <n v="5"/>
  </r>
  <r>
    <n v="3473"/>
    <x v="140"/>
    <x v="0"/>
    <d v="2024-10-25T00:00:00"/>
    <x v="1"/>
    <n v="15"/>
    <x v="0"/>
    <x v="0"/>
    <n v="30"/>
    <s v="Yes"/>
    <n v="20"/>
    <n v="3"/>
    <n v="62"/>
  </r>
  <r>
    <n v="3474"/>
    <x v="232"/>
    <x v="2"/>
    <d v="2024-10-26T00:00:00"/>
    <x v="0"/>
    <n v="10"/>
    <x v="1"/>
    <x v="1"/>
    <s v="-"/>
    <s v="Yes"/>
    <n v="20"/>
    <n v="15"/>
    <n v="15"/>
  </r>
  <r>
    <n v="3475"/>
    <x v="233"/>
    <x v="1"/>
    <d v="2024-10-27T00:00:00"/>
    <x v="1"/>
    <n v="5"/>
    <x v="0"/>
    <x v="1"/>
    <s v="-"/>
    <s v="No"/>
    <n v="0"/>
    <n v="1"/>
    <n v="4"/>
  </r>
  <r>
    <n v="3476"/>
    <x v="234"/>
    <x v="0"/>
    <d v="2024-10-28T00:00:00"/>
    <x v="0"/>
    <n v="15"/>
    <x v="2"/>
    <x v="0"/>
    <n v="30"/>
    <s v="Yes"/>
    <n v="20"/>
    <n v="7"/>
    <n v="58"/>
  </r>
  <r>
    <n v="3477"/>
    <x v="235"/>
    <x v="2"/>
    <d v="2024-10-29T00:00:00"/>
    <x v="1"/>
    <n v="10"/>
    <x v="0"/>
    <x v="1"/>
    <s v="-"/>
    <s v="Yes"/>
    <n v="20"/>
    <n v="10"/>
    <n v="20"/>
  </r>
  <r>
    <n v="3478"/>
    <x v="236"/>
    <x v="1"/>
    <d v="2024-10-30T00:00:00"/>
    <x v="0"/>
    <n v="5"/>
    <x v="1"/>
    <x v="1"/>
    <s v="-"/>
    <s v="No"/>
    <n v="0"/>
    <n v="0"/>
    <n v="5"/>
  </r>
  <r>
    <n v="3479"/>
    <x v="237"/>
    <x v="0"/>
    <d v="2024-10-31T00:00:00"/>
    <x v="1"/>
    <n v="15"/>
    <x v="0"/>
    <x v="0"/>
    <n v="30"/>
    <s v="Yes"/>
    <n v="20"/>
    <n v="20"/>
    <n v="45"/>
  </r>
  <r>
    <n v="3480"/>
    <x v="238"/>
    <x v="2"/>
    <d v="2024-11-01T00:00:00"/>
    <x v="0"/>
    <n v="10"/>
    <x v="2"/>
    <x v="1"/>
    <s v="-"/>
    <s v="Yes"/>
    <n v="20"/>
    <n v="15"/>
    <n v="15"/>
  </r>
  <r>
    <n v="3481"/>
    <x v="239"/>
    <x v="1"/>
    <d v="2024-11-02T00:00:00"/>
    <x v="1"/>
    <n v="5"/>
    <x v="0"/>
    <x v="1"/>
    <s v="-"/>
    <s v="No"/>
    <n v="0"/>
    <n v="1"/>
    <n v="4"/>
  </r>
  <r>
    <n v="3482"/>
    <x v="240"/>
    <x v="0"/>
    <d v="2024-11-03T00:00:00"/>
    <x v="0"/>
    <n v="15"/>
    <x v="1"/>
    <x v="0"/>
    <n v="30"/>
    <s v="Yes"/>
    <n v="20"/>
    <n v="3"/>
    <n v="62"/>
  </r>
  <r>
    <n v="3483"/>
    <x v="241"/>
    <x v="2"/>
    <d v="2024-11-04T00:00:00"/>
    <x v="1"/>
    <n v="10"/>
    <x v="0"/>
    <x v="1"/>
    <s v="-"/>
    <s v="Yes"/>
    <n v="20"/>
    <n v="10"/>
    <n v="20"/>
  </r>
  <r>
    <n v="3484"/>
    <x v="242"/>
    <x v="1"/>
    <d v="2024-11-05T00:00:00"/>
    <x v="0"/>
    <n v="5"/>
    <x v="2"/>
    <x v="1"/>
    <s v="-"/>
    <s v="No"/>
    <n v="0"/>
    <n v="0"/>
    <n v="5"/>
  </r>
  <r>
    <n v="3485"/>
    <x v="243"/>
    <x v="0"/>
    <d v="2024-11-06T00:00:00"/>
    <x v="1"/>
    <n v="15"/>
    <x v="0"/>
    <x v="0"/>
    <n v="30"/>
    <s v="Yes"/>
    <n v="20"/>
    <n v="15"/>
    <n v="50"/>
  </r>
  <r>
    <n v="3486"/>
    <x v="244"/>
    <x v="1"/>
    <d v="2024-11-07T00:00:00"/>
    <x v="0"/>
    <n v="5"/>
    <x v="0"/>
    <x v="1"/>
    <s v="-"/>
    <s v="No"/>
    <n v="0"/>
    <n v="0"/>
    <n v="5"/>
  </r>
  <r>
    <n v="3487"/>
    <x v="245"/>
    <x v="0"/>
    <d v="2024-11-08T00:00:00"/>
    <x v="1"/>
    <n v="15"/>
    <x v="2"/>
    <x v="0"/>
    <n v="30"/>
    <s v="Yes"/>
    <n v="20"/>
    <n v="7"/>
    <n v="58"/>
  </r>
  <r>
    <n v="3488"/>
    <x v="246"/>
    <x v="2"/>
    <d v="2024-11-09T00:00:00"/>
    <x v="0"/>
    <n v="10"/>
    <x v="1"/>
    <x v="1"/>
    <s v="-"/>
    <s v="Yes"/>
    <n v="20"/>
    <n v="10"/>
    <n v="20"/>
  </r>
  <r>
    <n v="3489"/>
    <x v="247"/>
    <x v="1"/>
    <d v="2024-11-10T00:00:00"/>
    <x v="1"/>
    <n v="5"/>
    <x v="2"/>
    <x v="1"/>
    <s v="-"/>
    <s v="No"/>
    <n v="0"/>
    <n v="1"/>
    <n v="4"/>
  </r>
  <r>
    <n v="3490"/>
    <x v="248"/>
    <x v="0"/>
    <d v="2024-11-11T00:00:00"/>
    <x v="0"/>
    <n v="15"/>
    <x v="0"/>
    <x v="0"/>
    <n v="30"/>
    <s v="Yes"/>
    <n v="20"/>
    <n v="15"/>
    <n v="50"/>
  </r>
  <r>
    <n v="3491"/>
    <x v="249"/>
    <x v="2"/>
    <d v="2024-11-12T00:00:00"/>
    <x v="1"/>
    <n v="10"/>
    <x v="0"/>
    <x v="1"/>
    <s v="-"/>
    <s v="Yes"/>
    <n v="20"/>
    <n v="5"/>
    <n v="25"/>
  </r>
  <r>
    <n v="3492"/>
    <x v="250"/>
    <x v="1"/>
    <d v="2024-11-13T00:00:00"/>
    <x v="0"/>
    <n v="5"/>
    <x v="1"/>
    <x v="1"/>
    <s v="-"/>
    <s v="No"/>
    <n v="0"/>
    <n v="0"/>
    <n v="5"/>
  </r>
  <r>
    <n v="3493"/>
    <x v="251"/>
    <x v="0"/>
    <d v="2024-11-14T00:00:00"/>
    <x v="1"/>
    <n v="15"/>
    <x v="2"/>
    <x v="0"/>
    <n v="30"/>
    <s v="Yes"/>
    <n v="20"/>
    <n v="20"/>
    <n v="45"/>
  </r>
  <r>
    <n v="3494"/>
    <x v="252"/>
    <x v="2"/>
    <d v="2024-11-15T00:00:00"/>
    <x v="0"/>
    <n v="10"/>
    <x v="2"/>
    <x v="1"/>
    <s v="-"/>
    <s v="Yes"/>
    <n v="20"/>
    <n v="12"/>
    <n v="18"/>
  </r>
  <r>
    <n v="3495"/>
    <x v="253"/>
    <x v="1"/>
    <d v="2024-11-16T00:00:00"/>
    <x v="1"/>
    <n v="5"/>
    <x v="0"/>
    <x v="1"/>
    <s v="-"/>
    <s v="No"/>
    <n v="0"/>
    <n v="2"/>
    <n v="3"/>
  </r>
  <r>
    <n v="3496"/>
    <x v="254"/>
    <x v="0"/>
    <d v="2024-11-17T00:00:00"/>
    <x v="0"/>
    <n v="15"/>
    <x v="1"/>
    <x v="0"/>
    <n v="30"/>
    <s v="Yes"/>
    <n v="20"/>
    <n v="5"/>
    <n v="60"/>
  </r>
  <r>
    <n v="3497"/>
    <x v="255"/>
    <x v="2"/>
    <d v="2024-11-18T00:00:00"/>
    <x v="1"/>
    <n v="10"/>
    <x v="0"/>
    <x v="1"/>
    <s v="-"/>
    <s v="Yes"/>
    <n v="20"/>
    <n v="10"/>
    <n v="20"/>
  </r>
  <r>
    <n v="3498"/>
    <x v="256"/>
    <x v="1"/>
    <d v="2024-11-19T00:00:00"/>
    <x v="0"/>
    <n v="5"/>
    <x v="2"/>
    <x v="1"/>
    <s v="-"/>
    <s v="No"/>
    <n v="0"/>
    <n v="0"/>
    <n v="5"/>
  </r>
  <r>
    <n v="3499"/>
    <x v="257"/>
    <x v="0"/>
    <d v="2024-11-20T00:00:00"/>
    <x v="1"/>
    <n v="15"/>
    <x v="0"/>
    <x v="0"/>
    <n v="30"/>
    <s v="Yes"/>
    <n v="20"/>
    <n v="3"/>
    <n v="62"/>
  </r>
  <r>
    <n v="3500"/>
    <x v="258"/>
    <x v="2"/>
    <d v="2024-11-21T00:00:00"/>
    <x v="0"/>
    <n v="10"/>
    <x v="1"/>
    <x v="1"/>
    <s v="-"/>
    <s v="Yes"/>
    <n v="20"/>
    <n v="15"/>
    <n v="15"/>
  </r>
  <r>
    <n v="3501"/>
    <x v="259"/>
    <x v="1"/>
    <d v="2024-11-22T00:00:00"/>
    <x v="1"/>
    <n v="5"/>
    <x v="0"/>
    <x v="1"/>
    <s v="-"/>
    <s v="No"/>
    <n v="0"/>
    <n v="1"/>
    <n v="4"/>
  </r>
  <r>
    <n v="3502"/>
    <x v="260"/>
    <x v="0"/>
    <d v="2024-11-23T00:00:00"/>
    <x v="0"/>
    <n v="15"/>
    <x v="2"/>
    <x v="0"/>
    <n v="30"/>
    <s v="Yes"/>
    <n v="20"/>
    <n v="7"/>
    <n v="58"/>
  </r>
  <r>
    <n v="3503"/>
    <x v="119"/>
    <x v="2"/>
    <d v="2024-11-24T00:00:00"/>
    <x v="1"/>
    <n v="10"/>
    <x v="0"/>
    <x v="1"/>
    <s v="-"/>
    <s v="Yes"/>
    <n v="20"/>
    <n v="10"/>
    <n v="20"/>
  </r>
  <r>
    <n v="3504"/>
    <x v="261"/>
    <x v="1"/>
    <d v="2024-11-25T00:00:00"/>
    <x v="0"/>
    <n v="5"/>
    <x v="1"/>
    <x v="1"/>
    <s v="-"/>
    <s v="No"/>
    <n v="0"/>
    <n v="0"/>
    <n v="5"/>
  </r>
  <r>
    <n v="3505"/>
    <x v="262"/>
    <x v="0"/>
    <d v="2024-11-26T00:00:00"/>
    <x v="1"/>
    <n v="15"/>
    <x v="0"/>
    <x v="0"/>
    <n v="30"/>
    <s v="Yes"/>
    <n v="20"/>
    <n v="20"/>
    <n v="45"/>
  </r>
  <r>
    <n v="3506"/>
    <x v="263"/>
    <x v="2"/>
    <d v="2024-11-27T00:00:00"/>
    <x v="0"/>
    <n v="10"/>
    <x v="2"/>
    <x v="1"/>
    <s v="-"/>
    <s v="Yes"/>
    <n v="20"/>
    <n v="15"/>
    <n v="15"/>
  </r>
  <r>
    <n v="3507"/>
    <x v="264"/>
    <x v="1"/>
    <d v="2024-11-28T00:00:00"/>
    <x v="1"/>
    <n v="5"/>
    <x v="0"/>
    <x v="1"/>
    <s v="-"/>
    <s v="No"/>
    <n v="0"/>
    <n v="1"/>
    <n v="4"/>
  </r>
  <r>
    <n v="3508"/>
    <x v="265"/>
    <x v="0"/>
    <d v="2024-11-29T00:00:00"/>
    <x v="0"/>
    <n v="15"/>
    <x v="1"/>
    <x v="0"/>
    <n v="30"/>
    <s v="Yes"/>
    <n v="20"/>
    <n v="3"/>
    <n v="62"/>
  </r>
  <r>
    <n v="3509"/>
    <x v="266"/>
    <x v="2"/>
    <d v="2024-11-30T00:00:00"/>
    <x v="1"/>
    <n v="10"/>
    <x v="0"/>
    <x v="1"/>
    <s v="-"/>
    <s v="Yes"/>
    <n v="20"/>
    <n v="10"/>
    <n v="20"/>
  </r>
  <r>
    <n v="3510"/>
    <x v="267"/>
    <x v="1"/>
    <d v="2024-12-01T00:00:00"/>
    <x v="0"/>
    <n v="5"/>
    <x v="2"/>
    <x v="1"/>
    <s v="-"/>
    <s v="No"/>
    <n v="0"/>
    <n v="0"/>
    <n v="5"/>
  </r>
  <r>
    <n v="3511"/>
    <x v="268"/>
    <x v="0"/>
    <d v="2024-12-02T00:00:00"/>
    <x v="1"/>
    <n v="15"/>
    <x v="0"/>
    <x v="0"/>
    <n v="30"/>
    <s v="Yes"/>
    <n v="20"/>
    <n v="15"/>
    <n v="50"/>
  </r>
  <r>
    <n v="3512"/>
    <x v="269"/>
    <x v="2"/>
    <d v="2024-12-03T00:00:00"/>
    <x v="0"/>
    <n v="10"/>
    <x v="1"/>
    <x v="1"/>
    <s v="-"/>
    <s v="Yes"/>
    <n v="20"/>
    <n v="15"/>
    <n v="15"/>
  </r>
  <r>
    <n v="3513"/>
    <x v="270"/>
    <x v="1"/>
    <d v="2024-12-04T00:00:00"/>
    <x v="1"/>
    <n v="5"/>
    <x v="0"/>
    <x v="1"/>
    <s v="-"/>
    <s v="No"/>
    <n v="0"/>
    <n v="1"/>
    <n v="4"/>
  </r>
  <r>
    <n v="3514"/>
    <x v="271"/>
    <x v="0"/>
    <d v="2024-12-05T00:00:00"/>
    <x v="0"/>
    <n v="15"/>
    <x v="2"/>
    <x v="0"/>
    <n v="30"/>
    <s v="Yes"/>
    <n v="20"/>
    <n v="7"/>
    <n v="58"/>
  </r>
  <r>
    <n v="3515"/>
    <x v="130"/>
    <x v="2"/>
    <d v="2024-12-06T00:00:00"/>
    <x v="1"/>
    <n v="10"/>
    <x v="0"/>
    <x v="1"/>
    <s v="-"/>
    <s v="Yes"/>
    <n v="20"/>
    <n v="10"/>
    <n v="20"/>
  </r>
  <r>
    <n v="3516"/>
    <x v="131"/>
    <x v="1"/>
    <d v="2024-12-07T00:00:00"/>
    <x v="0"/>
    <n v="5"/>
    <x v="1"/>
    <x v="1"/>
    <s v="-"/>
    <s v="No"/>
    <n v="0"/>
    <n v="0"/>
    <n v="5"/>
  </r>
  <r>
    <n v="3517"/>
    <x v="181"/>
    <x v="0"/>
    <d v="2024-12-08T00:00:00"/>
    <x v="1"/>
    <n v="15"/>
    <x v="0"/>
    <x v="0"/>
    <n v="30"/>
    <s v="Yes"/>
    <n v="20"/>
    <n v="20"/>
    <n v="45"/>
  </r>
  <r>
    <n v="3518"/>
    <x v="272"/>
    <x v="2"/>
    <d v="2024-12-09T00:00:00"/>
    <x v="0"/>
    <n v="10"/>
    <x v="2"/>
    <x v="1"/>
    <s v="-"/>
    <s v="Yes"/>
    <n v="20"/>
    <n v="12"/>
    <n v="18"/>
  </r>
  <r>
    <n v="3519"/>
    <x v="273"/>
    <x v="1"/>
    <d v="2024-12-10T00:00:00"/>
    <x v="1"/>
    <n v="5"/>
    <x v="0"/>
    <x v="1"/>
    <s v="-"/>
    <s v="No"/>
    <n v="0"/>
    <n v="2"/>
    <n v="3"/>
  </r>
  <r>
    <n v="3520"/>
    <x v="274"/>
    <x v="0"/>
    <d v="2024-12-11T00:00:00"/>
    <x v="0"/>
    <n v="15"/>
    <x v="1"/>
    <x v="0"/>
    <n v="30"/>
    <s v="Yes"/>
    <n v="20"/>
    <n v="5"/>
    <n v="60"/>
  </r>
  <r>
    <n v="3521"/>
    <x v="275"/>
    <x v="2"/>
    <d v="2024-12-12T00:00:00"/>
    <x v="1"/>
    <n v="10"/>
    <x v="0"/>
    <x v="1"/>
    <s v="-"/>
    <s v="Yes"/>
    <n v="20"/>
    <n v="10"/>
    <n v="20"/>
  </r>
  <r>
    <n v="3522"/>
    <x v="276"/>
    <x v="1"/>
    <d v="2024-12-13T00:00:00"/>
    <x v="0"/>
    <n v="5"/>
    <x v="2"/>
    <x v="1"/>
    <s v="-"/>
    <s v="No"/>
    <n v="0"/>
    <n v="0"/>
    <n v="5"/>
  </r>
  <r>
    <n v="3523"/>
    <x v="277"/>
    <x v="0"/>
    <d v="2024-12-14T00:00:00"/>
    <x v="1"/>
    <n v="15"/>
    <x v="0"/>
    <x v="0"/>
    <n v="30"/>
    <s v="Yes"/>
    <n v="20"/>
    <n v="3"/>
    <n v="62"/>
  </r>
  <r>
    <n v="3524"/>
    <x v="278"/>
    <x v="2"/>
    <d v="2024-12-15T00:00:00"/>
    <x v="0"/>
    <n v="10"/>
    <x v="1"/>
    <x v="1"/>
    <s v="-"/>
    <s v="Yes"/>
    <n v="20"/>
    <n v="15"/>
    <n v="15"/>
  </r>
  <r>
    <n v="3525"/>
    <x v="279"/>
    <x v="1"/>
    <d v="2024-12-16T00:00:00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bl_easp_total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4">
  <location ref="B15:C1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1">
    <format dxfId="0">
      <pivotArea outline="0" collapsedLevelsAreSubtotals="1" fieldPosition="0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bl_annual_total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5">
  <location ref="B6:C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formats count="1">
    <format dxfId="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4">
  <location ref="B26:C3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1">
    <format dxfId="2">
      <pivotArea outline="0" collapsedLevelsAreSubtotals="1" fieldPosition="0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bl_easp_total"/>
    <pivotTable tabId="3" name="Tabela dinâmica1"/>
  </pivotTables>
  <data>
    <tabular pivotCacheId="1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 1" cache="SegmentaçãodeDados_Subscription_Type" caption="Subscription Type" style="SlicerStyleLight6_EZEQ" rowHeight="230716"/>
</slicers>
</file>

<file path=xl/tables/table1.xml><?xml version="1.0" encoding="utf-8"?>
<table xmlns="http://schemas.openxmlformats.org/spreadsheetml/2006/main" id="1" name="Tabela1" displayName="Tabela1" ref="A1:M296" totalsRowShown="0" dataDxfId="16">
  <autoFilter ref="A1:M296"/>
  <tableColumns count="13">
    <tableColumn id="1" name="Subscriber ID" dataDxfId="15"/>
    <tableColumn id="2" name="Name" dataDxfId="14"/>
    <tableColumn id="3" name="Plan" dataDxfId="13"/>
    <tableColumn id="4" name="Start Date" dataDxfId="12"/>
    <tableColumn id="5" name="Auto Renewal" dataDxfId="11"/>
    <tableColumn id="6" name="Subscription Price" dataDxfId="10" dataCellStyle="Moeda"/>
    <tableColumn id="7" name="Subscription Type" dataDxfId="9"/>
    <tableColumn id="8" name="EA Play Season Pass" dataDxfId="8"/>
    <tableColumn id="13" name="EA Play Season Pass_x000a_Price" dataDxfId="7" dataCellStyle="Moeda"/>
    <tableColumn id="9" name="Minecraft Season Pass" dataDxfId="6"/>
    <tableColumn id="10" name="Minecraft Season Pass Price" dataDxfId="5" dataCellStyle="Moeda"/>
    <tableColumn id="11" name="Coupon Value" dataDxfId="4" dataCellStyle="Moeda"/>
    <tableColumn id="12" name="Total Value" dataDxfId="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10" zoomScaleNormal="100" workbookViewId="0">
      <selection activeCell="C2" sqref="C2:O2"/>
    </sheetView>
  </sheetViews>
  <sheetFormatPr defaultRowHeight="14"/>
  <cols>
    <col min="9" max="9" width="3.58203125" customWidth="1"/>
  </cols>
  <sheetData>
    <row r="3" spans="2:16" ht="19.5" thickBot="1">
      <c r="B3" s="1" t="s">
        <v>0</v>
      </c>
      <c r="C3" s="1"/>
      <c r="D3" s="1"/>
      <c r="E3" s="1"/>
      <c r="F3" s="1"/>
      <c r="G3" s="1"/>
      <c r="H3" s="1"/>
    </row>
    <row r="4" spans="2:16" ht="14.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19.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4.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topLeftCell="C1" zoomScale="80" zoomScaleNormal="80" workbookViewId="0">
      <selection activeCell="C2" sqref="C2:O2"/>
    </sheetView>
  </sheetViews>
  <sheetFormatPr defaultRowHeight="14"/>
  <cols>
    <col min="1" max="1" width="17.83203125" bestFit="1" customWidth="1"/>
    <col min="2" max="2" width="18.83203125" bestFit="1" customWidth="1"/>
    <col min="3" max="3" width="9.4140625" bestFit="1" customWidth="1"/>
    <col min="4" max="4" width="14.58203125" bestFit="1" customWidth="1"/>
    <col min="5" max="5" width="18" bestFit="1" customWidth="1"/>
    <col min="6" max="6" width="14.75" bestFit="1" customWidth="1"/>
    <col min="7" max="7" width="22" bestFit="1" customWidth="1"/>
    <col min="8" max="8" width="20.58203125" bestFit="1" customWidth="1"/>
    <col min="9" max="9" width="20.58203125" customWidth="1"/>
    <col min="10" max="10" width="16.75" bestFit="1" customWidth="1"/>
    <col min="11" max="11" width="21.25" bestFit="1" customWidth="1"/>
    <col min="12" max="12" width="12.75" bestFit="1" customWidth="1"/>
    <col min="13" max="13" width="10.58203125" bestFit="1" customWidth="1"/>
  </cols>
  <sheetData>
    <row r="1" spans="1:13" ht="28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F579"/>
  <sheetViews>
    <sheetView showGridLines="0" topLeftCell="A10" zoomScale="85" zoomScaleNormal="85" workbookViewId="0">
      <selection activeCell="C2" sqref="C2:O2"/>
    </sheetView>
  </sheetViews>
  <sheetFormatPr defaultRowHeight="14"/>
  <cols>
    <col min="1" max="1" width="8.6640625" style="12"/>
    <col min="2" max="2" width="18.75" style="12" customWidth="1"/>
    <col min="3" max="3" width="36" style="12" customWidth="1"/>
    <col min="4" max="6" width="11.1640625" style="12" customWidth="1"/>
    <col min="7" max="7" width="27.75" style="12" bestFit="1" customWidth="1"/>
    <col min="8" max="8" width="5.4140625" style="12" customWidth="1"/>
    <col min="9" max="9" width="21.1640625" style="12" bestFit="1" customWidth="1"/>
    <col min="10" max="11" width="35.1640625" style="12" bestFit="1" customWidth="1"/>
    <col min="12" max="15" width="9.75" style="12" bestFit="1" customWidth="1"/>
    <col min="16" max="16" width="15.58203125" style="12" bestFit="1" customWidth="1"/>
    <col min="17" max="17" width="12.1640625" style="12" bestFit="1" customWidth="1"/>
    <col min="18" max="16384" width="8.6640625" style="12"/>
  </cols>
  <sheetData>
    <row r="1" spans="1:6">
      <c r="A1" s="16" t="s">
        <v>317</v>
      </c>
    </row>
    <row r="2" spans="1:6">
      <c r="A2" s="16" t="s">
        <v>316</v>
      </c>
    </row>
    <row r="3" spans="1:6">
      <c r="A3" s="16"/>
    </row>
    <row r="4" spans="1:6">
      <c r="B4" s="13" t="s">
        <v>16</v>
      </c>
      <c r="C4" t="s">
        <v>20</v>
      </c>
    </row>
    <row r="6" spans="1:6">
      <c r="B6" s="13" t="s">
        <v>313</v>
      </c>
      <c r="C6" t="s">
        <v>315</v>
      </c>
      <c r="D6"/>
      <c r="E6"/>
      <c r="F6"/>
    </row>
    <row r="7" spans="1:6">
      <c r="B7" s="14" t="s">
        <v>23</v>
      </c>
      <c r="C7" s="15">
        <v>2824</v>
      </c>
      <c r="D7"/>
      <c r="E7"/>
      <c r="F7"/>
    </row>
    <row r="8" spans="1:6">
      <c r="B8" s="14" t="s">
        <v>19</v>
      </c>
      <c r="C8" s="15">
        <v>747</v>
      </c>
      <c r="D8"/>
      <c r="E8"/>
      <c r="F8"/>
    </row>
    <row r="9" spans="1:6">
      <c r="B9" s="14" t="s">
        <v>314</v>
      </c>
      <c r="C9" s="15">
        <v>3571</v>
      </c>
      <c r="D9"/>
    </row>
    <row r="10" spans="1:6">
      <c r="B10"/>
      <c r="C10"/>
      <c r="D10"/>
    </row>
    <row r="11" spans="1:6">
      <c r="B11"/>
      <c r="C11"/>
      <c r="D11"/>
    </row>
    <row r="12" spans="1:6">
      <c r="A12" s="16" t="s">
        <v>319</v>
      </c>
      <c r="B12"/>
      <c r="C12"/>
      <c r="D12"/>
    </row>
    <row r="13" spans="1:6">
      <c r="B13" s="13" t="s">
        <v>16</v>
      </c>
      <c r="C13" t="s">
        <v>20</v>
      </c>
      <c r="D13"/>
    </row>
    <row r="14" spans="1:6">
      <c r="D14"/>
    </row>
    <row r="15" spans="1:6">
      <c r="B15" s="13" t="s">
        <v>313</v>
      </c>
      <c r="C15" t="s">
        <v>320</v>
      </c>
      <c r="D15"/>
    </row>
    <row r="16" spans="1:6">
      <c r="B16" s="14" t="s">
        <v>22</v>
      </c>
      <c r="C16" s="15">
        <v>0</v>
      </c>
    </row>
    <row r="17" spans="1:4">
      <c r="B17" s="14" t="s">
        <v>26</v>
      </c>
      <c r="C17" s="15">
        <v>0</v>
      </c>
      <c r="D17"/>
    </row>
    <row r="18" spans="1:4">
      <c r="B18" s="14" t="s">
        <v>18</v>
      </c>
      <c r="C18" s="15">
        <v>1350</v>
      </c>
      <c r="D18" s="18">
        <f>GETPIVOTDATA("EA Play Season Pass
Price",$B$15)</f>
        <v>1350</v>
      </c>
    </row>
    <row r="19" spans="1:4">
      <c r="B19" s="14" t="s">
        <v>314</v>
      </c>
      <c r="C19" s="15">
        <v>1350</v>
      </c>
      <c r="D19"/>
    </row>
    <row r="20" spans="1:4">
      <c r="B20"/>
      <c r="C20"/>
      <c r="D20"/>
    </row>
    <row r="21" spans="1:4">
      <c r="B21"/>
      <c r="C21"/>
      <c r="D21"/>
    </row>
    <row r="22" spans="1:4">
      <c r="B22"/>
      <c r="C22"/>
      <c r="D22"/>
    </row>
    <row r="23" spans="1:4">
      <c r="A23" s="16" t="s">
        <v>321</v>
      </c>
      <c r="B23"/>
      <c r="C23"/>
      <c r="D23"/>
    </row>
    <row r="24" spans="1:4">
      <c r="B24" s="13" t="s">
        <v>16</v>
      </c>
      <c r="C24" t="s">
        <v>20</v>
      </c>
      <c r="D24"/>
    </row>
    <row r="26" spans="1:4">
      <c r="B26" s="13" t="s">
        <v>313</v>
      </c>
      <c r="C26" t="s">
        <v>322</v>
      </c>
    </row>
    <row r="27" spans="1:4">
      <c r="B27" s="14" t="s">
        <v>22</v>
      </c>
      <c r="C27" s="15">
        <v>0</v>
      </c>
    </row>
    <row r="28" spans="1:4">
      <c r="B28" s="14" t="s">
        <v>26</v>
      </c>
      <c r="C28" s="15">
        <v>900</v>
      </c>
    </row>
    <row r="29" spans="1:4">
      <c r="B29" s="14" t="s">
        <v>18</v>
      </c>
      <c r="C29" s="15">
        <v>900</v>
      </c>
    </row>
    <row r="30" spans="1:4">
      <c r="B30" s="14" t="s">
        <v>314</v>
      </c>
      <c r="C30" s="15">
        <v>1800</v>
      </c>
      <c r="D30" s="18">
        <f>GETPIVOTDATA("Minecraft Season Pass Price",$B$26)</f>
        <v>1800</v>
      </c>
    </row>
    <row r="31" spans="1:4">
      <c r="B31"/>
      <c r="C31"/>
    </row>
    <row r="32" spans="1:4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>
      <c r="B531"/>
      <c r="C531"/>
    </row>
    <row r="532" spans="2:3">
      <c r="B532"/>
      <c r="C532"/>
    </row>
    <row r="533" spans="2:3">
      <c r="B533"/>
      <c r="C533"/>
    </row>
    <row r="534" spans="2:3">
      <c r="B534"/>
      <c r="C534"/>
    </row>
    <row r="535" spans="2:3">
      <c r="B535"/>
      <c r="C535"/>
    </row>
    <row r="536" spans="2:3">
      <c r="B536"/>
      <c r="C536"/>
    </row>
    <row r="537" spans="2:3">
      <c r="B537"/>
      <c r="C537"/>
    </row>
    <row r="538" spans="2:3">
      <c r="B538"/>
      <c r="C538"/>
    </row>
    <row r="539" spans="2:3">
      <c r="B539"/>
      <c r="C539"/>
    </row>
    <row r="540" spans="2:3">
      <c r="B540"/>
      <c r="C540"/>
    </row>
    <row r="541" spans="2:3">
      <c r="B541"/>
      <c r="C541"/>
    </row>
    <row r="542" spans="2:3">
      <c r="B542"/>
      <c r="C542"/>
    </row>
    <row r="543" spans="2:3">
      <c r="B543"/>
      <c r="C543"/>
    </row>
    <row r="544" spans="2:3">
      <c r="B544"/>
      <c r="C544"/>
    </row>
    <row r="545" spans="2:3">
      <c r="B545"/>
      <c r="C545"/>
    </row>
    <row r="546" spans="2:3">
      <c r="B546"/>
      <c r="C546"/>
    </row>
    <row r="547" spans="2:3">
      <c r="B547"/>
      <c r="C547"/>
    </row>
    <row r="548" spans="2:3">
      <c r="B548"/>
      <c r="C548"/>
    </row>
    <row r="549" spans="2:3">
      <c r="B549"/>
      <c r="C549"/>
    </row>
    <row r="550" spans="2:3">
      <c r="B550"/>
      <c r="C550"/>
    </row>
    <row r="551" spans="2:3">
      <c r="B551"/>
      <c r="C551"/>
    </row>
    <row r="552" spans="2:3">
      <c r="B552"/>
      <c r="C552"/>
    </row>
    <row r="553" spans="2:3">
      <c r="B553"/>
      <c r="C553"/>
    </row>
    <row r="554" spans="2:3">
      <c r="B554"/>
      <c r="C554"/>
    </row>
    <row r="555" spans="2:3">
      <c r="B555"/>
      <c r="C555"/>
    </row>
    <row r="556" spans="2:3">
      <c r="B556"/>
      <c r="C556"/>
    </row>
    <row r="557" spans="2:3">
      <c r="B557"/>
      <c r="C557"/>
    </row>
    <row r="558" spans="2:3">
      <c r="B558"/>
      <c r="C558"/>
    </row>
    <row r="559" spans="2:3">
      <c r="B559"/>
      <c r="C559"/>
    </row>
    <row r="560" spans="2:3">
      <c r="B560"/>
      <c r="C560"/>
    </row>
    <row r="561" spans="2:3">
      <c r="B561"/>
      <c r="C561"/>
    </row>
    <row r="562" spans="2:3">
      <c r="B562"/>
      <c r="C562"/>
    </row>
    <row r="563" spans="2:3">
      <c r="B563"/>
      <c r="C563"/>
    </row>
    <row r="564" spans="2:3">
      <c r="B564"/>
      <c r="C564"/>
    </row>
    <row r="565" spans="2:3">
      <c r="B565"/>
      <c r="C565"/>
    </row>
    <row r="566" spans="2:3">
      <c r="B566"/>
      <c r="C566"/>
    </row>
    <row r="567" spans="2:3">
      <c r="B567"/>
      <c r="C567"/>
    </row>
    <row r="568" spans="2:3">
      <c r="B568"/>
      <c r="C568"/>
    </row>
    <row r="569" spans="2:3">
      <c r="B569"/>
      <c r="C569"/>
    </row>
    <row r="570" spans="2:3">
      <c r="B570"/>
      <c r="C570"/>
    </row>
    <row r="571" spans="2:3">
      <c r="B571"/>
      <c r="C571"/>
    </row>
    <row r="572" spans="2:3">
      <c r="B572"/>
      <c r="C572"/>
    </row>
    <row r="573" spans="2:3">
      <c r="B573"/>
      <c r="C573"/>
    </row>
    <row r="574" spans="2:3">
      <c r="B574"/>
      <c r="C574"/>
    </row>
    <row r="575" spans="2:3">
      <c r="B575"/>
      <c r="C575"/>
    </row>
    <row r="576" spans="2:3">
      <c r="B576"/>
      <c r="C576"/>
    </row>
    <row r="577" spans="2:3">
      <c r="B577"/>
      <c r="C577"/>
    </row>
    <row r="578" spans="2:3">
      <c r="B578"/>
      <c r="C578"/>
    </row>
    <row r="579" spans="2:3">
      <c r="B579"/>
      <c r="C579"/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6"/>
  <sheetViews>
    <sheetView showGridLines="0" showRowColHeaders="0" tabSelected="1" zoomScale="80" zoomScaleNormal="80" workbookViewId="0">
      <selection activeCell="C9" sqref="C9"/>
    </sheetView>
  </sheetViews>
  <sheetFormatPr defaultColWidth="0" defaultRowHeight="14" zeroHeight="1"/>
  <cols>
    <col min="1" max="1" width="23.58203125" customWidth="1"/>
    <col min="2" max="2" width="3.58203125" customWidth="1"/>
    <col min="3" max="11" width="8.6640625" customWidth="1"/>
    <col min="12" max="12" width="6.58203125" customWidth="1"/>
    <col min="13" max="14" width="8.6640625" customWidth="1"/>
    <col min="15" max="15" width="1.75" customWidth="1"/>
    <col min="16" max="21" width="0" hidden="1" customWidth="1"/>
    <col min="22" max="16384" width="8.6640625" hidden="1"/>
  </cols>
  <sheetData>
    <row r="1" spans="1:15">
      <c r="A1" s="5"/>
    </row>
    <row r="2" spans="1:15" ht="31.5" customHeight="1" thickBot="1">
      <c r="A2" s="5"/>
      <c r="C2" s="19" t="s">
        <v>318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ht="12" customHeight="1">
      <c r="A3" s="5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15" ht="13" customHeight="1">
      <c r="A4" s="5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10.5" customHeight="1">
      <c r="A5" s="5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9.75" customHeight="1">
      <c r="A6" s="5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33" customHeight="1">
      <c r="A7" s="5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>
      <c r="A8" s="5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>
      <c r="A9" s="5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>
      <c r="A10" s="5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>
      <c r="A11" s="5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>
      <c r="A12" s="5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>
      <c r="A13" s="5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>
      <c r="A14" s="5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>
      <c r="A15" s="5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>
      <c r="A16" s="5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>
      <c r="A17" s="5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>
      <c r="A19" s="5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>
      <c r="A20" s="5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>
      <c r="A21" s="5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>
      <c r="A22" s="5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>
      <c r="A23" s="5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>
      <c r="A24" s="5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>
      <c r="A25" s="5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>
      <c r="A27" s="5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>
      <c r="A28" s="5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>
      <c r="A29" s="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>
      <c r="A30" s="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>
      <c r="A33" s="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>
      <c r="A34" s="5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>
      <c r="A35" s="5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>
      <c r="A36" s="5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>
      <c r="A37" s="5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>
      <c r="A38" s="5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>
      <c r="A39" s="5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>
      <c r="A40" s="5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>
      <c r="A41" s="5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>
      <c r="A42" s="5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>
      <c r="A43" s="5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>
      <c r="A44" s="5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>
      <c r="A45" s="5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5">
      <c r="A46" s="5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>
      <c r="A47" s="5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5">
      <c r="A48" s="5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>
      <c r="A49" s="5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5">
      <c r="A50" s="5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>
      <c r="A51" s="5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>
      <c r="A52" s="5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1:15">
      <c r="A53" s="5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>
      <c r="A54" s="5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>
      <c r="A55" s="5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>
      <c r="A56" s="5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>
      <c r="A57" s="5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1:15">
      <c r="A58" s="5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>
      <c r="A59" s="5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1:15">
      <c r="A60" s="5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5">
      <c r="A61" s="5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>
      <c r="A62" s="5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5">
      <c r="A63" s="5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5">
      <c r="A64" s="5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5">
      <c r="A65" s="5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>
      <c r="A66" s="5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5">
      <c r="A67" s="5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5">
      <c r="A68" s="5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1:15">
      <c r="A69" s="5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5">
      <c r="A70" s="5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5">
      <c r="A71" s="5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1:15">
      <c r="A72" s="5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spans="1:15">
      <c r="A73" s="5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spans="1:15">
      <c r="A74" s="5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spans="1:15">
      <c r="A75" s="5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spans="1:15">
      <c r="A76" s="5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spans="1:15">
      <c r="A77" s="5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1:15">
      <c r="A78" s="5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1:15">
      <c r="A79" s="5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1:15">
      <c r="A80" s="5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spans="1:15">
      <c r="A81" s="5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spans="1:15">
      <c r="A82" s="5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 spans="1:15">
      <c r="A83" s="5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</row>
    <row r="84" spans="1:1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 spans="1:15">
      <c r="A85" s="5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 spans="1:15">
      <c r="A86" s="5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 spans="1:15">
      <c r="A87" s="5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  <row r="88" spans="1:15">
      <c r="A88" s="5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 spans="1:15">
      <c r="A89" s="5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 spans="1:15">
      <c r="A90" s="5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 spans="1:15">
      <c r="A91" s="5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 spans="1:15">
      <c r="A92" s="5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</row>
    <row r="93" spans="1:15">
      <c r="A93" s="5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</row>
    <row r="94" spans="1:15">
      <c r="A94" s="5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 spans="1:15">
      <c r="A95" s="5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 spans="1:15">
      <c r="A96" s="5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 spans="1:15">
      <c r="A97" s="5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 spans="1:15">
      <c r="A98" s="5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 spans="1:15">
      <c r="A99" s="5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spans="1:15">
      <c r="A100" s="5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</row>
    <row r="101" spans="1:15">
      <c r="A101" s="5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</row>
    <row r="102" spans="1:15">
      <c r="A102" s="5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</row>
    <row r="103" spans="1:15">
      <c r="A103" s="5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</row>
    <row r="104" spans="1:15">
      <c r="A104" s="5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 spans="1:15">
      <c r="A105" s="5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 spans="1:15">
      <c r="A106" s="5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 spans="1:15">
      <c r="A107" s="5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 spans="1:15">
      <c r="A108" s="5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</row>
    <row r="109" spans="1:15">
      <c r="A109" s="5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</row>
    <row r="110" spans="1:15">
      <c r="A110" s="5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</row>
    <row r="111" spans="1:15">
      <c r="A111" s="5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</row>
    <row r="112" spans="1:15">
      <c r="A112" s="5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</row>
    <row r="113" spans="1:15">
      <c r="A113" s="5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</row>
    <row r="114" spans="1:15">
      <c r="A114" s="5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</row>
    <row r="115" spans="1:15">
      <c r="A115" s="5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</row>
    <row r="116" spans="1:15">
      <c r="A116" s="5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 spans="1:15">
      <c r="A117" s="5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 spans="1:15">
      <c r="A118" s="5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 spans="1:15">
      <c r="A119" s="5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</row>
    <row r="120" spans="1:15">
      <c r="A120" s="5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</row>
    <row r="121" spans="1:15">
      <c r="A121" s="5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 spans="1:15">
      <c r="A122" s="5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 spans="1:15">
      <c r="A123" s="5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 spans="1:15">
      <c r="A124" s="5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 spans="1:15">
      <c r="A125" s="5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 spans="1:15">
      <c r="A126" s="5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 spans="1:15">
      <c r="A127" s="5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</row>
    <row r="128" spans="1:15">
      <c r="A128" s="5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 spans="1:15">
      <c r="A129" s="5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 spans="1:15">
      <c r="A130" s="5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 spans="1:15">
      <c r="A131" s="5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</row>
    <row r="132" spans="1:15">
      <c r="A132" s="5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 spans="1:15">
      <c r="A133" s="5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 spans="1:15">
      <c r="A134" s="5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 spans="1:15">
      <c r="A135" s="5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 spans="1:15">
      <c r="A136" s="5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 spans="1:15">
      <c r="A137" s="5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 spans="1:15">
      <c r="A138" s="5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spans="1:15">
      <c r="A139" s="5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 spans="1:15">
      <c r="A140" s="5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 spans="1:15">
      <c r="A141" s="5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 spans="1:15">
      <c r="A142" s="5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 spans="1:15">
      <c r="A143" s="5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</row>
    <row r="144" spans="1:15">
      <c r="A144" s="5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 spans="1:15">
      <c r="A145" s="5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</row>
    <row r="146" spans="1:15">
      <c r="A146" s="5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1:15">
      <c r="A147" s="5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 spans="1:15">
      <c r="A148" s="5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spans="1:15">
      <c r="A149" s="5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 spans="1:15">
      <c r="A150" s="5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 spans="1:15">
      <c r="A151" s="5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 spans="1:15">
      <c r="A152" s="5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 spans="1:15">
      <c r="A153" s="5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 spans="1:15">
      <c r="A154" s="5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 spans="1:15">
      <c r="A155" s="5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 spans="1:15">
      <c r="A156" s="5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 spans="1:15">
      <c r="A157" s="5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 spans="1:15">
      <c r="A158" s="5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spans="1:15">
      <c r="A159" s="5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 spans="1:15">
      <c r="A160" s="5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 spans="1:15">
      <c r="A161" s="5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</row>
    <row r="162" spans="1:15">
      <c r="A162" s="5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</row>
    <row r="163" spans="1:15">
      <c r="A163" s="5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</row>
    <row r="164" spans="1:15">
      <c r="A164" s="5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</row>
    <row r="165" spans="1:15" hidden="1">
      <c r="A165" s="5"/>
      <c r="B165" s="7"/>
      <c r="C165" s="7"/>
    </row>
    <row r="166" spans="1:15"/>
  </sheetData>
  <mergeCells count="1">
    <mergeCell ref="C2:O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EZEQUIEL COUTINHO MALASPINA EZEQUIC</cp:lastModifiedBy>
  <dcterms:created xsi:type="dcterms:W3CDTF">2024-12-19T13:13:10Z</dcterms:created>
  <dcterms:modified xsi:type="dcterms:W3CDTF">2026-02-10T19:21:54Z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